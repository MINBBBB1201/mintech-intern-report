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6a150ac8d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" sheetId="1" r:id="Rda74c09a17e04150"/>
    <x:sheet xmlns:r="http://schemas.openxmlformats.org/officeDocument/2006/relationships" name="01_기록시트" sheetId="2" r:id="Rd72f7115a9c141bf"/>
    <x:sheet xmlns:r="http://schemas.openxmlformats.org/officeDocument/2006/relationships" name="02_쌍체비교" sheetId="3" r:id="Rfb24281ac013499e"/>
    <x:sheet xmlns:r="http://schemas.openxmlformats.org/officeDocument/2006/relationships" name="03_증거요약" sheetId="4" r:id="Rd1392cf3f4f349e2"/>
    <x:sheet xmlns:r="http://schemas.openxmlformats.org/officeDocument/2006/relationships" name="04_참고기준" sheetId="5" r:id="Re782788991a7459b"/>
    <x:sheet xmlns:r="http://schemas.openxmlformats.org/officeDocument/2006/relationships" name="05_입력예시" sheetId="6" r:id="Rc5f02212040c413f"/>
    <x:sheet xmlns:r="http://schemas.openxmlformats.org/officeDocument/2006/relationships" name="06_문헌벤치마크" sheetId="7" r:id="R308679ecbd8e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0"/>
    <x:numFmt numFmtId="202" formatCode="0"/>
    <x:numFmt numFmtId="203" formatCode="0.0000"/>
    <x:numFmt numFmtId="204" formatCode="0.00"/>
    <x:numFmt numFmtId="205" formatCode="0.0%"/>
    <x:numFmt numFmtId="206" formatCode="0.#####"/>
  </x:numFmts>
  <x:fonts count="8">
    <x:font>
      <x:sz val="11"/>
      <x:name val="Carlito"/>
    </x:font>
    <x:font>
      <x:sz val="10"/>
      <x:color rgb="FF172B4D"/>
      <x:name val="Arial"/>
    </x:font>
    <x:font>
      <x:b/>
      <x:sz val="15"/>
      <x:color rgb="FFFFFFFF"/>
      <x:name val="Arial"/>
    </x:font>
    <x:font>
      <x:b/>
      <x:sz val="10"/>
      <x:color rgb="FF172B4D"/>
      <x:name val="Arial"/>
    </x:font>
    <x:font>
      <x:b/>
      <x:sz val="9"/>
      <x:color rgb="FFFFFFFF"/>
      <x:name val="Arial"/>
    </x:font>
    <x:font>
      <x:sz val="10"/>
      <x:color rgb="FF0000CC"/>
      <x:name val="Arial"/>
    </x:font>
    <x:font>
      <x:sz val="10"/>
      <x:color rgb="FF9C0006"/>
      <x:name val="Arial"/>
    </x:font>
    <x:font>
      <x:sz val="10"/>
      <x:color rgb="FF2F204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9EFF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5B3F78"/>
      </x:patternFill>
    </x:fill>
    <x:fill>
      <x:patternFill patternType="solid">
        <x:fgColor rgb="FFF3EF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201" fontId="6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 wrapText="1"/>
    </x:xf>
    <x:xf numFmtId="206" fontId="7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bbbde5a2c4a39" /><Relationship Type="http://schemas.openxmlformats.org/officeDocument/2006/relationships/theme" Target="/xl/theme/theme1.xml" Id="R19388ca150c646b2" /><Relationship Type="http://schemas.openxmlformats.org/officeDocument/2006/relationships/sharedStrings" Target="/xl/sharedStrings.xml" Id="Rb45b699ea2f245e1" /><Relationship Type="http://schemas.openxmlformats.org/officeDocument/2006/relationships/worksheet" Target="/xl/worksheets/sheet1.xml" Id="Rda74c09a17e04150" /><Relationship Type="http://schemas.openxmlformats.org/officeDocument/2006/relationships/worksheet" Target="/xl/worksheets/sheet2.xml" Id="Rd72f7115a9c141bf" /><Relationship Type="http://schemas.openxmlformats.org/officeDocument/2006/relationships/worksheet" Target="/xl/worksheets/sheet3.xml" Id="Rfb24281ac013499e" /><Relationship Type="http://schemas.openxmlformats.org/officeDocument/2006/relationships/worksheet" Target="/xl/worksheets/sheet4.xml" Id="Rd1392cf3f4f349e2" /><Relationship Type="http://schemas.openxmlformats.org/officeDocument/2006/relationships/worksheet" Target="/xl/worksheets/sheet5.xml" Id="Re782788991a7459b" /><Relationship Type="http://schemas.openxmlformats.org/officeDocument/2006/relationships/worksheet" Target="/xl/worksheets/sheet6.xml" Id="Rc5f02212040c413f" /><Relationship Type="http://schemas.openxmlformats.org/officeDocument/2006/relationships/worksheet" Target="/xl/worksheets/sheet7.xml" Id="R308679ecbd8e4b53" /></Relationships>
</file>

<file path=xl/tables/table1.xml><?xml version="1.0" encoding="utf-8"?>
<x:table xmlns:x="http://schemas.openxmlformats.org/spreadsheetml/2006/main" id="1" name="CarrierCouponRecords" displayName="CarrierCouponRecords" ref="A4:AA104" headerRowCount="1" totalsRowCount="0" totalsRowShown="0">
  <x:tableColumns count="27">
    <x:tableColumn id="1" name="record_id"/>
    <x:tableColumn id="2" name="date"/>
    <x:tableColumn id="3" name="method"/>
    <x:tableColumn id="4" name="run_order"/>
    <x:tableColumn id="5" name="block_id"/>
    <x:tableColumn id="6" name="pair_id"/>
    <x:tableColumn id="7" name="carrier_id"/>
    <x:tableColumn id="8" name="carrier_seating_check"/>
    <x:tableColumn id="9" name="carrier_pin_check"/>
    <x:tableColumn id="10" name="carrier_surface_check"/>
    <x:tableColumn id="11" name="carrier_seating_error_count"/>
    <x:tableColumn id="12" name="preparation_error_count"/>
    <x:tableColumn id="13" name="rework_count"/>
    <x:tableColumn id="14" name="recipe_id"/>
    <x:tableColumn id="15" name="coupon_id"/>
    <x:tableColumn id="16" name="coupon_x_mm"/>
    <x:tableColumn id="17" name="coupon_y_mm"/>
    <x:tableColumn id="18" name="coupon_orientation_deg"/>
    <x:tableColumn id="19" name="coupon_position_error_count"/>
    <x:tableColumn id="20" name="coupon_orientation_error_count"/>
    <x:tableColumn id="21" name="measurement_tool"/>
    <x:tableColumn id="22" name="measurement_point"/>
    <x:tableColumn id="23" name="thickness_nm"/>
    <x:tableColumn id="24" name="measured_by"/>
    <x:tableColumn id="25" name="evidence_status"/>
    <x:tableColumn id="26" name="notes"/>
    <x:tableColumn id="27" name="record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rierCouponPairs" displayName="CarrierCouponPairs" ref="A4:X34" headerRowCount="1" totalsRowCount="0" totalsRowShown="0">
  <x:tableColumns count="24">
    <x:tableColumn id="1" name="pair_id"/>
    <x:tableColumn id="2" name="block_id"/>
    <x:tableColumn id="3" name="A_order"/>
    <x:tableColumn id="4" name="A_carrier_id"/>
    <x:tableColumn id="5" name="A_coupon_id"/>
    <x:tableColumn id="6" name="A_thickness_range_nm"/>
    <x:tableColumn id="7" name="A_carrier_seating_errors"/>
    <x:tableColumn id="8" name="A_preparation_errors"/>
    <x:tableColumn id="9" name="A_coupon_position_errors"/>
    <x:tableColumn id="10" name="A_coupon_orientation_errors"/>
    <x:tableColumn id="11" name="B_order"/>
    <x:tableColumn id="12" name="B_carrier_id"/>
    <x:tableColumn id="13" name="B_coupon_id"/>
    <x:tableColumn id="14" name="B_thickness_range_nm"/>
    <x:tableColumn id="15" name="B_carrier_seating_errors"/>
    <x:tableColumn id="16" name="B_preparation_errors"/>
    <x:tableColumn id="17" name="B_coupon_position_errors"/>
    <x:tableColumn id="18" name="B_coupon_orientation_errors"/>
    <x:tableColumn id="19" name="evidence_status"/>
    <x:tableColumn id="20" name="notes"/>
    <x:tableColumn id="21" name="pair_status"/>
    <x:tableColumn id="22" name="valid_A_nm"/>
    <x:tableColumn id="23" name="valid_B_nm"/>
    <x:tableColumn id="24" name="delta_n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teratureBenchmarks" displayName="LiteratureBenchmarks" ref="A4:J23" headerRowCount="1" totalsRowCount="0" totalsRowShown="0">
  <x:tableColumns count="10">
    <x:tableColumn id="1" name="Data_Class"/>
    <x:tableColumn id="2" name="재료·적층 구조"/>
    <x:tableColumn id="3" name="기판"/>
    <x:tableColumn id="4" name="증착 맥락"/>
    <x:tableColumn id="5" name="물성"/>
    <x:tableColumn id="6" name="값"/>
    <x:tableColumn id="7" name="단위"/>
    <x:tableColumn id="8" name="측정 기준"/>
    <x:tableColumn id="9" name="출처"/>
    <x:tableColumn id="10" name="URL/DO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ea6fa3ca0a4d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67246c77d44d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f6ed93b019c448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0" hidden="0" customWidth="1"/>
  </x:cols>
  <x:sheetData>
    <x:row r="1" ht="32" customHeight="1">
      <x:c r="A1" s="4" t="str">
        <x:v>Mintech 캐리어 안착 및 Witness Coupon 비교분석</x:v>
      </x:c>
      <x:c r="B1" s="4"/>
    </x:row>
    <x:row r="2" ht="22" customHeight="1">
      <x:c r="A2" s="2"/>
      <x:c r="B2" s="2"/>
    </x:row>
    <x:row r="3" ht="46" customHeight="1">
      <x:c r="A3" s="6" t="str">
        <x:v>목적</x:v>
      </x:c>
      <x:c r="B3" s="7" t="str">
        <x:v>방법 A/B에서 캐리어 안착, 시편 준비, witness coupon 배치와 고정 측정점 두께 범위를 함께 비교한다.</x:v>
      </x:c>
    </x:row>
    <x:row r="4" ht="46" customHeight="1">
      <x:c r="A4" s="6" t="str">
        <x:v>실측 원칙</x:v>
      </x:c>
      <x:c r="B4" s="7" t="str">
        <x:v>노란 셀에 확인한 값만 입력한다. 실제 관찰 입력 영역은 비어 있으며, 미측정값을 0 또는 정상으로 채우지 않는다.</x:v>
      </x:c>
    </x:row>
    <x:row r="5" ht="46" customHeight="1">
      <x:c r="A5" s="6" t="str">
        <x:v>소프트웨어 검증</x:v>
      </x:c>
      <x:c r="B5" s="7" t="str">
        <x:v>별도 코드와 12번 보고서에서 SOFTWARE_TEST 입력의 누락·중복·조건 불일치를 검사한다. 시험 데이터는 이 워크북의 실측 영역에 넣지 않는다.</x:v>
      </x:c>
    </x:row>
    <x:row r="6" ht="46" customHeight="1">
      <x:c r="A6" s="6" t="str">
        <x:v>01_기록시트</x:v>
      </x:c>
      <x:c r="B6" s="7" t="str">
        <x:v>개별 실행의 식별자, 안착·핀·표면 확인, coupon 좌표·방향, 준비 오류·재작업, recipe, 측정 도구·지점·두께를 기록한다.</x:v>
      </x:c>
    </x:row>
    <x:row r="7" ht="46" customHeight="1">
      <x:c r="A7" s="6" t="str">
        <x:v>02_쌍체비교</x:v>
      </x:c>
      <x:c r="B7" s="7" t="str">
        <x:v>같은 block과 pair에서 방법 A/B의 고정 측정점 두께 범위(nm)와 네 가지 오류 건수를 한 행에 입력한다.</x:v>
      </x:c>
    </x:row>
    <x:row r="8" ht="46" customHeight="1">
      <x:c r="A8" s="6" t="str">
        <x:v>유효 쌍</x:v>
      </x:c>
      <x:c r="B8" s="7" t="str">
        <x:v>pair_id가 고유하고 실행 순서가 1/2로 서로 다르며 모든 수치가 0 이상이고 evidence_status가 FIELD_MEASUREMENT인 행만 집계한다.</x:v>
      </x:c>
    </x:row>
    <x:row r="9" ht="46" customHeight="1">
      <x:c r="A9" s="6" t="str">
        <x:v>연속 결과</x:v>
      </x:c>
      <x:c r="B9" s="7" t="str">
        <x:v>고정 측정점 두께 범위(nm)를 A/B 쌍체차로 계산한다. delta = A - B이며 양수면 B의 범위가 더 작다.</x:v>
      </x:c>
    </x:row>
    <x:row r="10" ht="46" customHeight="1">
      <x:c r="A10" s="6" t="str">
        <x:v>이산 결과</x:v>
      </x:c>
      <x:c r="B10" s="7" t="str">
        <x:v>캐리어 안착 오류, 준비 오류, coupon 위치 오류, coupon 방향 오류를 방법별 합계와 쌍당 평균으로 요약한다.</x:v>
      </x:c>
    </x:row>
    <x:row r="11" ht="22" customHeight="1">
      <x:c r="A11" s="2"/>
      <x:c r="B11" s="2"/>
    </x:row>
    <x:row r="12" ht="46" customHeight="1">
      <x:c r="A12" s="6" t="str">
        <x:v>FIELD_MEASUREMENT</x:v>
      </x:c>
      <x:c r="B12" s="7" t="str">
        <x:v>현장에서 직접 측정하고 원자료를 추적할 수 있는 값. 유효 쌍의 필수 자료 구분이다.</x:v>
      </x:c>
    </x:row>
    <x:row r="13" ht="46" customHeight="1">
      <x:c r="A13" s="6" t="str">
        <x:v>RECONSTRUCTED_EXAMPLE</x:v>
      </x:c>
      <x:c r="B13" s="7" t="str">
        <x:v>입력 형식을 설명하려고 재구성한 예시. 05_입력예시에만 있으며 실제 합계와 통계에서 제외한다.</x:v>
      </x:c>
    </x:row>
    <x:row r="14" ht="46" customHeight="1">
      <x:c r="A14" s="6" t="str">
        <x:v>입력 색상</x:v>
      </x:c>
      <x:c r="B14" s="7" t="str">
        <x:v>노란 배경과 파란 글씨는 사용자 입력, 흰 배경과 검은 글씨는 수식 또는 설명이다.</x:v>
      </x:c>
    </x:row>
    <x:row r="15" ht="46" customHeight="1">
      <x:c r="A15" s="6" t="str">
        <x:v>LITERATURE_BENCHMARK</x:v>
      </x:c>
      <x:c r="B15" s="7" t="str">
        <x:v>06_문헌벤치마크의 공개 연구값이다. 현장 측정, 회사 규격, 합격 기준 또는 A/B 계산 입력이 아니다.</x:v>
      </x:c>
    </x:row>
    <x:row r="16" ht="46" customHeight="1">
      <x:c r="A16" s="6" t="str">
        <x:v>4M 결과</x:v>
      </x:c>
      <x:c r="B16" s="7" t="str">
        <x:v>03_증거요약은 별도의 합성 4M 모델 결과다. 캐리어/coupon 실측 결과와 섞어 해석하지 않는다.</x:v>
      </x:c>
    </x:row>
    <x:row r="17" ht="46" customHeight="1">
      <x:c r="A17" s="6" t="str">
        <x:v>참고 기준</x:v>
      </x:c>
      <x:c r="B17" s="7" t="str">
        <x:v>04_참고기준에서 유효성, 계산식, 좌표·방향·두께 기록 규칙을 확인한다.</x:v>
      </x:c>
    </x:row>
    <x:row r="18" ht="46" customHeight="1">
      <x:c r="A18" s="6" t="str">
        <x:v>반복 측정</x:v>
      </x:c>
      <x:c r="B18" s="7" t="str">
        <x:v>같은 쌍과 측정점을 반복 측정하면 같은 pair_id·measurement_point에 별도 record_id로 행을 추가하고 notes에 반복 회차를 적는다.</x:v>
      </x:c>
    </x:row>
    <x:row r="19" ht="46" customHeight="1">
      <x:c r="A19" s="6" t="str">
        <x:v>제외 실행</x:v>
      </x:c>
      <x:c r="B19" s="7" t="str">
        <x:v>중단하거나 제외한 실행은 행을 지우지 않고 notes에 사유를 적는다. 필수값이 비면 유효 기록·유효 쌍 집계에서 빠진다.</x:v>
      </x:c>
    </x:row>
    <x:row r="20" ht="22" customHeight="1">
      <x:c r="A20" s="2"/>
      <x:c r="B20" s="2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1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16" hidden="0" customWidth="1"/>
    <x:col min="10" max="10" width="18" hidden="0" customWidth="1"/>
    <x:col min="11" max="11" width="18" hidden="0" customWidth="1"/>
    <x:col min="12" max="12" width="17" hidden="0" customWidth="1"/>
    <x:col min="13" max="13" width="14" hidden="0" customWidth="1"/>
    <x:col min="14" max="14" width="15" hidden="0" customWidth="1"/>
    <x:col min="15" max="15" width="15" hidden="0" customWidth="1"/>
    <x:col min="16" max="16" width="13" hidden="0" customWidth="1"/>
    <x:col min="17" max="17" width="13" hidden="0" customWidth="1"/>
    <x:col min="18" max="18" width="17" hidden="0" customWidth="1"/>
    <x:col min="19" max="19" width="18" hidden="0" customWidth="1"/>
    <x:col min="20" max="20" width="20" hidden="0" customWidth="1"/>
    <x:col min="21" max="21" width="18" hidden="0" customWidth="1"/>
    <x:col min="22" max="22" width="19" hidden="0" customWidth="1"/>
    <x:col min="23" max="23" width="15" hidden="0" customWidth="1"/>
    <x:col min="24" max="24" width="16" hidden="0" customWidth="1"/>
    <x:col min="25" max="25" width="22" hidden="0" customWidth="1"/>
    <x:col min="26" max="26" width="32" hidden="0" customWidth="1"/>
    <x:col min="27" max="27" width="20" hidden="0" customWidth="1"/>
  </x:cols>
  <x:sheetData>
    <x:row r="1" ht="32" customHeight="1">
      <x:c r="A1" s="4" t="str">
        <x:v>캐리어 및 Witness Coupon 실측 기록시트</x:v>
      </x:c>
      <x:c r="B1" s="4"/>
      <x:c r="C1" s="4"/>
      <x:c r="D1" s="4"/>
      <x:c r="E1" s="4"/>
      <x:c r="F1" s="4"/>
      <x:c r="G1" s="4"/>
      <x:c r="H1" s="4"/>
      <x:c r="I1" s="4"/>
      <x:c r="J1" s="4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2" customHeight="1">
      <x:c r="A2" s="8" t="str">
        <x:v>실제 관찰 입력용. 한 행은 한 방법 실행과 한 측정점을 나타낸다. 빈칸은 미관찰이며 0으로 간주하지 않는다.</x:v>
      </x:c>
      <x:c r="B2" s="8"/>
      <x:c r="C2" s="8"/>
      <x:c r="D2" s="8"/>
      <x:c r="E2" s="8"/>
      <x:c r="F2" s="8"/>
      <x:c r="G2" s="8"/>
      <x:c r="H2" s="8"/>
      <x:c r="I2" s="8"/>
      <x:c r="J2" s="8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44" customHeight="1">
      <x:c r="A4" s="11" t="str">
        <x:v>record_id</x:v>
      </x:c>
      <x:c r="B4" s="11" t="str">
        <x:v>date</x:v>
      </x:c>
      <x:c r="C4" s="11" t="str">
        <x:v>method</x:v>
      </x:c>
      <x:c r="D4" s="11" t="str">
        <x:v>run_order</x:v>
      </x:c>
      <x:c r="E4" s="11" t="str">
        <x:v>block_id</x:v>
      </x:c>
      <x:c r="F4" s="11" t="str">
        <x:v>pair_id</x:v>
      </x:c>
      <x:c r="G4" s="11" t="str">
        <x:v>carrier_id</x:v>
      </x:c>
      <x:c r="H4" s="11" t="str">
        <x:v>carrier_seating_check</x:v>
      </x:c>
      <x:c r="I4" s="11" t="str">
        <x:v>carrier_pin_check</x:v>
      </x:c>
      <x:c r="J4" s="11" t="str">
        <x:v>carrier_surface_check</x:v>
      </x:c>
      <x:c r="K4" s="11" t="str">
        <x:v>carrier_seating_error_count</x:v>
      </x:c>
      <x:c r="L4" s="11" t="str">
        <x:v>preparation_error_count</x:v>
      </x:c>
      <x:c r="M4" s="11" t="str">
        <x:v>rework_count</x:v>
      </x:c>
      <x:c r="N4" s="11" t="str">
        <x:v>recipe_id</x:v>
      </x:c>
      <x:c r="O4" s="11" t="str">
        <x:v>coupon_id</x:v>
      </x:c>
      <x:c r="P4" s="11" t="str">
        <x:v>coupon_x_mm</x:v>
      </x:c>
      <x:c r="Q4" s="11" t="str">
        <x:v>coupon_y_mm</x:v>
      </x:c>
      <x:c r="R4" s="11" t="str">
        <x:v>coupon_orientation_deg</x:v>
      </x:c>
      <x:c r="S4" s="11" t="str">
        <x:v>coupon_position_error_count</x:v>
      </x:c>
      <x:c r="T4" s="11" t="str">
        <x:v>coupon_orientation_error_count</x:v>
      </x:c>
      <x:c r="U4" s="11" t="str">
        <x:v>measurement_tool</x:v>
      </x:c>
      <x:c r="V4" s="11" t="str">
        <x:v>measurement_point</x:v>
      </x:c>
      <x:c r="W4" s="11" t="str">
        <x:v>thickness_nm</x:v>
      </x:c>
      <x:c r="X4" s="11" t="str">
        <x:v>measured_by</x:v>
      </x:c>
      <x:c r="Y4" s="11" t="str">
        <x:v>evidence_status</x:v>
      </x:c>
      <x:c r="Z4" s="11" t="str">
        <x:v>notes</x:v>
      </x:c>
      <x:c r="AA4" s="11" t="str">
        <x:v>record_status</x:v>
      </x:c>
    </x:row>
    <x:row r="5" ht="22" customHeight="1">
      <x:c r="A5" s="13"/>
      <x:c r="B5" s="15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6"/>
      <x:c r="Q5" s="16"/>
      <x:c r="R5" s="16"/>
      <x:c r="S5" s="13"/>
      <x:c r="T5" s="13"/>
      <x:c r="U5" s="13"/>
      <x:c r="V5" s="13"/>
      <x:c r="W5" s="16"/>
      <x:c r="X5" s="13"/>
      <x:c r="Y5" s="13"/>
      <x:c r="Z5" s="13"/>
      <x:c r="AA5" s="14" t="str">
        <x:f>IF(COUNTA(A5:Z5)=0,"",IF(OR(ISBLANK(A5),ISBLANK(B5),ISBLANK(C5),ISBLANK(D5),ISBLANK(E5),ISBLANK(F5),ISBLANK(G5),ISBLANK(H5),ISBLANK(I5),ISBLANK(J5),ISBLANK(K5),ISBLANK(L5),ISBLANK(M5),ISBLANK(N5),ISBLANK(O5),ISBLANK(P5),ISBLANK(Q5),ISBLANK(R5),ISBLANK(S5),ISBLANK(T5),ISBLANK(U5),ISBLANK(V5),ISBLANK(W5),ISBLANK(X5),ISBLANK(Y5)),"필수값 입력",IF(COUNTIFS($A$5:$A$104,A5)&gt;1,"중복 ID",IF(AND(IF(ISNUMBER(B5),AND(B5&gt;=1,MOD(B5,1)=0),FALSE),OR(C5="A",C5="B"),OR(D5=1,D5=2),OR(H5="PASS",H5="FAIL"),OR(I5="PASS",I5="FAIL"),OR(J5="PASS",J5="FAIL"),IF(ISNUMBER(K5),AND(K5&gt;=0,MOD(K5,1)=0),FALSE),IF(ISNUMBER(L5),AND(L5&gt;=0,MOD(L5,1)=0),FALSE),IF(ISNUMBER(M5),AND(M5&gt;=0,MOD(M5,1)=0),FALSE),IF(ISNUMBER(S5),AND(S5&gt;=0,MOD(S5,1)=0),FALSE),IF(ISNUMBER(T5),AND(T5&gt;=0,MOD(T5,1)=0),FALSE),IF(ISNUMBER(P5),AND(P5&gt;=0),FALSE),IF(ISNUMBER(Q5),AND(Q5&gt;=0),FALSE),IF(ISNUMBER(W5),AND(W5&gt;=0),FALSE),IF(ISNUMBER(R5),AND(R5&gt;=0,R5&lt;360),FALSE),Y5="FIELD_MEASUREMENT"),"유효 기록","입력 확인"))))</x:f>
      </x:c>
    </x:row>
    <x:row r="6" ht="22" customHeight="1">
      <x:c r="A6" s="13"/>
      <x:c r="B6" s="15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6"/>
      <x:c r="Q6" s="16"/>
      <x:c r="R6" s="16"/>
      <x:c r="S6" s="13"/>
      <x:c r="T6" s="13"/>
      <x:c r="U6" s="13"/>
      <x:c r="V6" s="13"/>
      <x:c r="W6" s="16"/>
      <x:c r="X6" s="13"/>
      <x:c r="Y6" s="13"/>
      <x:c r="Z6" s="13"/>
      <x:c r="AA6" s="14" t="str">
        <x:f>IF(COUNTA(A6:Z6)=0,"",IF(OR(ISBLANK(A6),ISBLANK(B6),ISBLANK(C6),ISBLANK(D6),ISBLANK(E6),ISBLANK(F6),ISBLANK(G6),ISBLANK(H6),ISBLANK(I6),ISBLANK(J6),ISBLANK(K6),ISBLANK(L6),ISBLANK(M6),ISBLANK(N6),ISBLANK(O6),ISBLANK(P6),ISBLANK(Q6),ISBLANK(R6),ISBLANK(S6),ISBLANK(T6),ISBLANK(U6),ISBLANK(V6),ISBLANK(W6),ISBLANK(X6),ISBLANK(Y6)),"필수값 입력",IF(COUNTIFS($A$5:$A$104,A6)&gt;1,"중복 ID",IF(AND(IF(ISNUMBER(B6),AND(B6&gt;=1,MOD(B6,1)=0),FALSE),OR(C6="A",C6="B"),OR(D6=1,D6=2),OR(H6="PASS",H6="FAIL"),OR(I6="PASS",I6="FAIL"),OR(J6="PASS",J6="FAIL"),IF(ISNUMBER(K6),AND(K6&gt;=0,MOD(K6,1)=0),FALSE),IF(ISNUMBER(L6),AND(L6&gt;=0,MOD(L6,1)=0),FALSE),IF(ISNUMBER(M6),AND(M6&gt;=0,MOD(M6,1)=0),FALSE),IF(ISNUMBER(S6),AND(S6&gt;=0,MOD(S6,1)=0),FALSE),IF(ISNUMBER(T6),AND(T6&gt;=0,MOD(T6,1)=0),FALSE),IF(ISNUMBER(P6),AND(P6&gt;=0),FALSE),IF(ISNUMBER(Q6),AND(Q6&gt;=0),FALSE),IF(ISNUMBER(W6),AND(W6&gt;=0),FALSE),IF(ISNUMBER(R6),AND(R6&gt;=0,R6&lt;360),FALSE),Y6="FIELD_MEASUREMENT"),"유효 기록","입력 확인"))))</x:f>
      </x:c>
    </x:row>
    <x:row r="7" ht="22" customHeight="1">
      <x:c r="A7" s="13"/>
      <x:c r="B7" s="15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6"/>
      <x:c r="Q7" s="16"/>
      <x:c r="R7" s="16"/>
      <x:c r="S7" s="13"/>
      <x:c r="T7" s="13"/>
      <x:c r="U7" s="13"/>
      <x:c r="V7" s="13"/>
      <x:c r="W7" s="16"/>
      <x:c r="X7" s="13"/>
      <x:c r="Y7" s="13"/>
      <x:c r="Z7" s="13"/>
      <x:c r="AA7" s="14" t="str">
        <x:f>IF(COUNTA(A7:Z7)=0,"",IF(OR(ISBLANK(A7),ISBLANK(B7),ISBLANK(C7),ISBLANK(D7),ISBLANK(E7),ISBLANK(F7),ISBLANK(G7),ISBLANK(H7),ISBLANK(I7),ISBLANK(J7),ISBLANK(K7),ISBLANK(L7),ISBLANK(M7),ISBLANK(N7),ISBLANK(O7),ISBLANK(P7),ISBLANK(Q7),ISBLANK(R7),ISBLANK(S7),ISBLANK(T7),ISBLANK(U7),ISBLANK(V7),ISBLANK(W7),ISBLANK(X7),ISBLANK(Y7)),"필수값 입력",IF(COUNTIFS($A$5:$A$104,A7)&gt;1,"중복 ID",IF(AND(IF(ISNUMBER(B7),AND(B7&gt;=1,MOD(B7,1)=0),FALSE),OR(C7="A",C7="B"),OR(D7=1,D7=2),OR(H7="PASS",H7="FAIL"),OR(I7="PASS",I7="FAIL"),OR(J7="PASS",J7="FAIL"),IF(ISNUMBER(K7),AND(K7&gt;=0,MOD(K7,1)=0),FALSE),IF(ISNUMBER(L7),AND(L7&gt;=0,MOD(L7,1)=0),FALSE),IF(ISNUMBER(M7),AND(M7&gt;=0,MOD(M7,1)=0),FALSE),IF(ISNUMBER(S7),AND(S7&gt;=0,MOD(S7,1)=0),FALSE),IF(ISNUMBER(T7),AND(T7&gt;=0,MOD(T7,1)=0),FALSE),IF(ISNUMBER(P7),AND(P7&gt;=0),FALSE),IF(ISNUMBER(Q7),AND(Q7&gt;=0),FALSE),IF(ISNUMBER(W7),AND(W7&gt;=0),FALSE),IF(ISNUMBER(R7),AND(R7&gt;=0,R7&lt;360),FALSE),Y7="FIELD_MEASUREMENT"),"유효 기록","입력 확인"))))</x:f>
      </x:c>
    </x:row>
    <x:row r="8" ht="22" customHeight="1">
      <x:c r="A8" s="13"/>
      <x:c r="B8" s="15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6"/>
      <x:c r="Q8" s="16"/>
      <x:c r="R8" s="16"/>
      <x:c r="S8" s="13"/>
      <x:c r="T8" s="13"/>
      <x:c r="U8" s="13"/>
      <x:c r="V8" s="13"/>
      <x:c r="W8" s="16"/>
      <x:c r="X8" s="13"/>
      <x:c r="Y8" s="13"/>
      <x:c r="Z8" s="13"/>
      <x:c r="AA8" s="14" t="str">
        <x:f>IF(COUNTA(A8:Z8)=0,"",IF(OR(ISBLANK(A8),ISBLANK(B8),ISBLANK(C8),ISBLANK(D8),ISBLANK(E8),ISBLANK(F8),ISBLANK(G8),ISBLANK(H8),ISBLANK(I8),ISBLANK(J8),ISBLANK(K8),ISBLANK(L8),ISBLANK(M8),ISBLANK(N8),ISBLANK(O8),ISBLANK(P8),ISBLANK(Q8),ISBLANK(R8),ISBLANK(S8),ISBLANK(T8),ISBLANK(U8),ISBLANK(V8),ISBLANK(W8),ISBLANK(X8),ISBLANK(Y8)),"필수값 입력",IF(COUNTIFS($A$5:$A$104,A8)&gt;1,"중복 ID",IF(AND(IF(ISNUMBER(B8),AND(B8&gt;=1,MOD(B8,1)=0),FALSE),OR(C8="A",C8="B"),OR(D8=1,D8=2),OR(H8="PASS",H8="FAIL"),OR(I8="PASS",I8="FAIL"),OR(J8="PASS",J8="FAIL"),IF(ISNUMBER(K8),AND(K8&gt;=0,MOD(K8,1)=0),FALSE),IF(ISNUMBER(L8),AND(L8&gt;=0,MOD(L8,1)=0),FALSE),IF(ISNUMBER(M8),AND(M8&gt;=0,MOD(M8,1)=0),FALSE),IF(ISNUMBER(S8),AND(S8&gt;=0,MOD(S8,1)=0),FALSE),IF(ISNUMBER(T8),AND(T8&gt;=0,MOD(T8,1)=0),FALSE),IF(ISNUMBER(P8),AND(P8&gt;=0),FALSE),IF(ISNUMBER(Q8),AND(Q8&gt;=0),FALSE),IF(ISNUMBER(W8),AND(W8&gt;=0),FALSE),IF(ISNUMBER(R8),AND(R8&gt;=0,R8&lt;360),FALSE),Y8="FIELD_MEASUREMENT"),"유효 기록","입력 확인"))))</x:f>
      </x:c>
    </x:row>
    <x:row r="9" ht="22" customHeight="1">
      <x:c r="A9" s="13"/>
      <x:c r="B9" s="15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6"/>
      <x:c r="Q9" s="16"/>
      <x:c r="R9" s="16"/>
      <x:c r="S9" s="13"/>
      <x:c r="T9" s="13"/>
      <x:c r="U9" s="13"/>
      <x:c r="V9" s="13"/>
      <x:c r="W9" s="16"/>
      <x:c r="X9" s="13"/>
      <x:c r="Y9" s="13"/>
      <x:c r="Z9" s="13"/>
      <x:c r="AA9" s="14" t="str">
        <x:f>IF(COUNTA(A9:Z9)=0,"",IF(OR(ISBLANK(A9),ISBLANK(B9),ISBLANK(C9),ISBLANK(D9),ISBLANK(E9),ISBLANK(F9),ISBLANK(G9),ISBLANK(H9),ISBLANK(I9),ISBLANK(J9),ISBLANK(K9),ISBLANK(L9),ISBLANK(M9),ISBLANK(N9),ISBLANK(O9),ISBLANK(P9),ISBLANK(Q9),ISBLANK(R9),ISBLANK(S9),ISBLANK(T9),ISBLANK(U9),ISBLANK(V9),ISBLANK(W9),ISBLANK(X9),ISBLANK(Y9)),"필수값 입력",IF(COUNTIFS($A$5:$A$104,A9)&gt;1,"중복 ID",IF(AND(IF(ISNUMBER(B9),AND(B9&gt;=1,MOD(B9,1)=0),FALSE),OR(C9="A",C9="B"),OR(D9=1,D9=2),OR(H9="PASS",H9="FAIL"),OR(I9="PASS",I9="FAIL"),OR(J9="PASS",J9="FAIL"),IF(ISNUMBER(K9),AND(K9&gt;=0,MOD(K9,1)=0),FALSE),IF(ISNUMBER(L9),AND(L9&gt;=0,MOD(L9,1)=0),FALSE),IF(ISNUMBER(M9),AND(M9&gt;=0,MOD(M9,1)=0),FALSE),IF(ISNUMBER(S9),AND(S9&gt;=0,MOD(S9,1)=0),FALSE),IF(ISNUMBER(T9),AND(T9&gt;=0,MOD(T9,1)=0),FALSE),IF(ISNUMBER(P9),AND(P9&gt;=0),FALSE),IF(ISNUMBER(Q9),AND(Q9&gt;=0),FALSE),IF(ISNUMBER(W9),AND(W9&gt;=0),FALSE),IF(ISNUMBER(R9),AND(R9&gt;=0,R9&lt;360),FALSE),Y9="FIELD_MEASUREMENT"),"유효 기록","입력 확인"))))</x:f>
      </x:c>
    </x:row>
    <x:row r="10" ht="22" customHeight="1">
      <x:c r="A10" s="13"/>
      <x:c r="B10" s="15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6"/>
      <x:c r="Q10" s="16"/>
      <x:c r="R10" s="16"/>
      <x:c r="S10" s="13"/>
      <x:c r="T10" s="13"/>
      <x:c r="U10" s="13"/>
      <x:c r="V10" s="13"/>
      <x:c r="W10" s="16"/>
      <x:c r="X10" s="13"/>
      <x:c r="Y10" s="13"/>
      <x:c r="Z10" s="13"/>
      <x:c r="AA10" s="14" t="str">
        <x:f>IF(COUNTA(A10:Z10)=0,"",IF(OR(ISBLANK(A10),ISBLANK(B10),ISBLANK(C10),ISBLANK(D10),ISBLANK(E10),ISBLANK(F10),ISBLANK(G10),ISBLANK(H10),ISBLANK(I10),ISBLANK(J10),ISBLANK(K10),ISBLANK(L10),ISBLANK(M10),ISBLANK(N10),ISBLANK(O10),ISBLANK(P10),ISBLANK(Q10),ISBLANK(R10),ISBLANK(S10),ISBLANK(T10),ISBLANK(U10),ISBLANK(V10),ISBLANK(W10),ISBLANK(X10),ISBLANK(Y10)),"필수값 입력",IF(COUNTIFS($A$5:$A$104,A10)&gt;1,"중복 ID",IF(AND(IF(ISNUMBER(B10),AND(B10&gt;=1,MOD(B10,1)=0),FALSE),OR(C10="A",C10="B"),OR(D10=1,D10=2),OR(H10="PASS",H10="FAIL"),OR(I10="PASS",I10="FAIL"),OR(J10="PASS",J10="FAIL"),IF(ISNUMBER(K10),AND(K10&gt;=0,MOD(K10,1)=0),FALSE),IF(ISNUMBER(L10),AND(L10&gt;=0,MOD(L10,1)=0),FALSE),IF(ISNUMBER(M10),AND(M10&gt;=0,MOD(M10,1)=0),FALSE),IF(ISNUMBER(S10),AND(S10&gt;=0,MOD(S10,1)=0),FALSE),IF(ISNUMBER(T10),AND(T10&gt;=0,MOD(T10,1)=0),FALSE),IF(ISNUMBER(P10),AND(P10&gt;=0),FALSE),IF(ISNUMBER(Q10),AND(Q10&gt;=0),FALSE),IF(ISNUMBER(W10),AND(W10&gt;=0),FALSE),IF(ISNUMBER(R10),AND(R10&gt;=0,R10&lt;360),FALSE),Y10="FIELD_MEASUREMENT"),"유효 기록","입력 확인"))))</x:f>
      </x:c>
    </x:row>
    <x:row r="11" ht="22" customHeight="1">
      <x:c r="A11" s="13"/>
      <x:c r="B11" s="15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6"/>
      <x:c r="Q11" s="16"/>
      <x:c r="R11" s="16"/>
      <x:c r="S11" s="13"/>
      <x:c r="T11" s="13"/>
      <x:c r="U11" s="13"/>
      <x:c r="V11" s="13"/>
      <x:c r="W11" s="16"/>
      <x:c r="X11" s="13"/>
      <x:c r="Y11" s="13"/>
      <x:c r="Z11" s="13"/>
      <x:c r="AA11" s="14" t="str">
        <x:f>IF(COUNTA(A11:Z11)=0,"",IF(OR(ISBLANK(A11),ISBLANK(B11),ISBLANK(C11),ISBLANK(D11),ISBLANK(E11),ISBLANK(F11),ISBLANK(G11),ISBLANK(H11),ISBLANK(I11),ISBLANK(J11),ISBLANK(K11),ISBLANK(L11),ISBLANK(M11),ISBLANK(N11),ISBLANK(O11),ISBLANK(P11),ISBLANK(Q11),ISBLANK(R11),ISBLANK(S11),ISBLANK(T11),ISBLANK(U11),ISBLANK(V11),ISBLANK(W11),ISBLANK(X11),ISBLANK(Y11)),"필수값 입력",IF(COUNTIFS($A$5:$A$104,A11)&gt;1,"중복 ID",IF(AND(IF(ISNUMBER(B11),AND(B11&gt;=1,MOD(B11,1)=0),FALSE),OR(C11="A",C11="B"),OR(D11=1,D11=2),OR(H11="PASS",H11="FAIL"),OR(I11="PASS",I11="FAIL"),OR(J11="PASS",J11="FAIL"),IF(ISNUMBER(K11),AND(K11&gt;=0,MOD(K11,1)=0),FALSE),IF(ISNUMBER(L11),AND(L11&gt;=0,MOD(L11,1)=0),FALSE),IF(ISNUMBER(M11),AND(M11&gt;=0,MOD(M11,1)=0),FALSE),IF(ISNUMBER(S11),AND(S11&gt;=0,MOD(S11,1)=0),FALSE),IF(ISNUMBER(T11),AND(T11&gt;=0,MOD(T11,1)=0),FALSE),IF(ISNUMBER(P11),AND(P11&gt;=0),FALSE),IF(ISNUMBER(Q11),AND(Q11&gt;=0),FALSE),IF(ISNUMBER(W11),AND(W11&gt;=0),FALSE),IF(ISNUMBER(R11),AND(R11&gt;=0,R11&lt;360),FALSE),Y11="FIELD_MEASUREMENT"),"유효 기록","입력 확인"))))</x:f>
      </x:c>
    </x:row>
    <x:row r="12" ht="22" customHeight="1">
      <x:c r="A12" s="13"/>
      <x:c r="B12" s="15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6"/>
      <x:c r="Q12" s="16"/>
      <x:c r="R12" s="16"/>
      <x:c r="S12" s="13"/>
      <x:c r="T12" s="13"/>
      <x:c r="U12" s="13"/>
      <x:c r="V12" s="13"/>
      <x:c r="W12" s="16"/>
      <x:c r="X12" s="13"/>
      <x:c r="Y12" s="13"/>
      <x:c r="Z12" s="13"/>
      <x:c r="AA12" s="14" t="str">
        <x:f>IF(COUNTA(A12:Z12)=0,"",IF(OR(ISBLANK(A12),ISBLANK(B12),ISBLANK(C12),ISBLANK(D12),ISBLANK(E12),ISBLANK(F12),ISBLANK(G12),ISBLANK(H12),ISBLANK(I12),ISBLANK(J12),ISBLANK(K12),ISBLANK(L12),ISBLANK(M12),ISBLANK(N12),ISBLANK(O12),ISBLANK(P12),ISBLANK(Q12),ISBLANK(R12),ISBLANK(S12),ISBLANK(T12),ISBLANK(U12),ISBLANK(V12),ISBLANK(W12),ISBLANK(X12),ISBLANK(Y12)),"필수값 입력",IF(COUNTIFS($A$5:$A$104,A12)&gt;1,"중복 ID",IF(AND(IF(ISNUMBER(B12),AND(B12&gt;=1,MOD(B12,1)=0),FALSE),OR(C12="A",C12="B"),OR(D12=1,D12=2),OR(H12="PASS",H12="FAIL"),OR(I12="PASS",I12="FAIL"),OR(J12="PASS",J12="FAIL"),IF(ISNUMBER(K12),AND(K12&gt;=0,MOD(K12,1)=0),FALSE),IF(ISNUMBER(L12),AND(L12&gt;=0,MOD(L12,1)=0),FALSE),IF(ISNUMBER(M12),AND(M12&gt;=0,MOD(M12,1)=0),FALSE),IF(ISNUMBER(S12),AND(S12&gt;=0,MOD(S12,1)=0),FALSE),IF(ISNUMBER(T12),AND(T12&gt;=0,MOD(T12,1)=0),FALSE),IF(ISNUMBER(P12),AND(P12&gt;=0),FALSE),IF(ISNUMBER(Q12),AND(Q12&gt;=0),FALSE),IF(ISNUMBER(W12),AND(W12&gt;=0),FALSE),IF(ISNUMBER(R12),AND(R12&gt;=0,R12&lt;360),FALSE),Y12="FIELD_MEASUREMENT"),"유효 기록","입력 확인"))))</x:f>
      </x:c>
    </x:row>
    <x:row r="13" ht="22" customHeight="1">
      <x:c r="A13" s="13"/>
      <x:c r="B13" s="15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6"/>
      <x:c r="Q13" s="16"/>
      <x:c r="R13" s="16"/>
      <x:c r="S13" s="13"/>
      <x:c r="T13" s="13"/>
      <x:c r="U13" s="13"/>
      <x:c r="V13" s="13"/>
      <x:c r="W13" s="16"/>
      <x:c r="X13" s="13"/>
      <x:c r="Y13" s="13"/>
      <x:c r="Z13" s="13"/>
      <x:c r="AA13" s="14" t="str">
        <x:f>IF(COUNTA(A13:Z13)=0,"",IF(OR(ISBLANK(A13),ISBLANK(B13),ISBLANK(C13),ISBLANK(D13),ISBLANK(E13),ISBLANK(F13),ISBLANK(G13),ISBLANK(H13),ISBLANK(I13),ISBLANK(J13),ISBLANK(K13),ISBLANK(L13),ISBLANK(M13),ISBLANK(N13),ISBLANK(O13),ISBLANK(P13),ISBLANK(Q13),ISBLANK(R13),ISBLANK(S13),ISBLANK(T13),ISBLANK(U13),ISBLANK(V13),ISBLANK(W13),ISBLANK(X13),ISBLANK(Y13)),"필수값 입력",IF(COUNTIFS($A$5:$A$104,A13)&gt;1,"중복 ID",IF(AND(IF(ISNUMBER(B13),AND(B13&gt;=1,MOD(B13,1)=0),FALSE),OR(C13="A",C13="B"),OR(D13=1,D13=2),OR(H13="PASS",H13="FAIL"),OR(I13="PASS",I13="FAIL"),OR(J13="PASS",J13="FAIL"),IF(ISNUMBER(K13),AND(K13&gt;=0,MOD(K13,1)=0),FALSE),IF(ISNUMBER(L13),AND(L13&gt;=0,MOD(L13,1)=0),FALSE),IF(ISNUMBER(M13),AND(M13&gt;=0,MOD(M13,1)=0),FALSE),IF(ISNUMBER(S13),AND(S13&gt;=0,MOD(S13,1)=0),FALSE),IF(ISNUMBER(T13),AND(T13&gt;=0,MOD(T13,1)=0),FALSE),IF(ISNUMBER(P13),AND(P13&gt;=0),FALSE),IF(ISNUMBER(Q13),AND(Q13&gt;=0),FALSE),IF(ISNUMBER(W13),AND(W13&gt;=0),FALSE),IF(ISNUMBER(R13),AND(R13&gt;=0,R13&lt;360),FALSE),Y13="FIELD_MEASUREMENT"),"유효 기록","입력 확인"))))</x:f>
      </x:c>
    </x:row>
    <x:row r="14" ht="22" customHeight="1">
      <x:c r="A14" s="13"/>
      <x:c r="B14" s="15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6"/>
      <x:c r="Q14" s="16"/>
      <x:c r="R14" s="16"/>
      <x:c r="S14" s="13"/>
      <x:c r="T14" s="13"/>
      <x:c r="U14" s="13"/>
      <x:c r="V14" s="13"/>
      <x:c r="W14" s="16"/>
      <x:c r="X14" s="13"/>
      <x:c r="Y14" s="13"/>
      <x:c r="Z14" s="13"/>
      <x:c r="AA14" s="14" t="str">
        <x:f>IF(COUNTA(A14:Z14)=0,"",IF(OR(ISBLANK(A14),ISBLANK(B14),ISBLANK(C14),ISBLANK(D14),ISBLANK(E14),ISBLANK(F14),ISBLANK(G14),ISBLANK(H14),ISBLANK(I14),ISBLANK(J14),ISBLANK(K14),ISBLANK(L14),ISBLANK(M14),ISBLANK(N14),ISBLANK(O14),ISBLANK(P14),ISBLANK(Q14),ISBLANK(R14),ISBLANK(S14),ISBLANK(T14),ISBLANK(U14),ISBLANK(V14),ISBLANK(W14),ISBLANK(X14),ISBLANK(Y14)),"필수값 입력",IF(COUNTIFS($A$5:$A$104,A14)&gt;1,"중복 ID",IF(AND(IF(ISNUMBER(B14),AND(B14&gt;=1,MOD(B14,1)=0),FALSE),OR(C14="A",C14="B"),OR(D14=1,D14=2),OR(H14="PASS",H14="FAIL"),OR(I14="PASS",I14="FAIL"),OR(J14="PASS",J14="FAIL"),IF(ISNUMBER(K14),AND(K14&gt;=0,MOD(K14,1)=0),FALSE),IF(ISNUMBER(L14),AND(L14&gt;=0,MOD(L14,1)=0),FALSE),IF(ISNUMBER(M14),AND(M14&gt;=0,MOD(M14,1)=0),FALSE),IF(ISNUMBER(S14),AND(S14&gt;=0,MOD(S14,1)=0),FALSE),IF(ISNUMBER(T14),AND(T14&gt;=0,MOD(T14,1)=0),FALSE),IF(ISNUMBER(P14),AND(P14&gt;=0),FALSE),IF(ISNUMBER(Q14),AND(Q14&gt;=0),FALSE),IF(ISNUMBER(W14),AND(W14&gt;=0),FALSE),IF(ISNUMBER(R14),AND(R14&gt;=0,R14&lt;360),FALSE),Y14="FIELD_MEASUREMENT"),"유효 기록","입력 확인"))))</x:f>
      </x:c>
    </x:row>
    <x:row r="15" ht="22" customHeight="1">
      <x:c r="A15" s="13"/>
      <x:c r="B15" s="15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6"/>
      <x:c r="Q15" s="16"/>
      <x:c r="R15" s="16"/>
      <x:c r="S15" s="13"/>
      <x:c r="T15" s="13"/>
      <x:c r="U15" s="13"/>
      <x:c r="V15" s="13"/>
      <x:c r="W15" s="16"/>
      <x:c r="X15" s="13"/>
      <x:c r="Y15" s="13"/>
      <x:c r="Z15" s="13"/>
      <x:c r="AA15" s="14" t="str">
        <x:f>IF(COUNTA(A15:Z15)=0,"",IF(OR(ISBLANK(A15),ISBLANK(B15),ISBLANK(C15),ISBLANK(D15),ISBLANK(E15),ISBLANK(F15),ISBLANK(G15),ISBLANK(H15),ISBLANK(I15),ISBLANK(J15),ISBLANK(K15),ISBLANK(L15),ISBLANK(M15),ISBLANK(N15),ISBLANK(O15),ISBLANK(P15),ISBLANK(Q15),ISBLANK(R15),ISBLANK(S15),ISBLANK(T15),ISBLANK(U15),ISBLANK(V15),ISBLANK(W15),ISBLANK(X15),ISBLANK(Y15)),"필수값 입력",IF(COUNTIFS($A$5:$A$104,A15)&gt;1,"중복 ID",IF(AND(IF(ISNUMBER(B15),AND(B15&gt;=1,MOD(B15,1)=0),FALSE),OR(C15="A",C15="B"),OR(D15=1,D15=2),OR(H15="PASS",H15="FAIL"),OR(I15="PASS",I15="FAIL"),OR(J15="PASS",J15="FAIL"),IF(ISNUMBER(K15),AND(K15&gt;=0,MOD(K15,1)=0),FALSE),IF(ISNUMBER(L15),AND(L15&gt;=0,MOD(L15,1)=0),FALSE),IF(ISNUMBER(M15),AND(M15&gt;=0,MOD(M15,1)=0),FALSE),IF(ISNUMBER(S15),AND(S15&gt;=0,MOD(S15,1)=0),FALSE),IF(ISNUMBER(T15),AND(T15&gt;=0,MOD(T15,1)=0),FALSE),IF(ISNUMBER(P15),AND(P15&gt;=0),FALSE),IF(ISNUMBER(Q15),AND(Q15&gt;=0),FALSE),IF(ISNUMBER(W15),AND(W15&gt;=0),FALSE),IF(ISNUMBER(R15),AND(R15&gt;=0,R15&lt;360),FALSE),Y15="FIELD_MEASUREMENT"),"유효 기록","입력 확인"))))</x:f>
      </x:c>
    </x:row>
    <x:row r="16" ht="22" customHeight="1">
      <x:c r="A16" s="13"/>
      <x:c r="B16" s="15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6"/>
      <x:c r="Q16" s="16"/>
      <x:c r="R16" s="16"/>
      <x:c r="S16" s="13"/>
      <x:c r="T16" s="13"/>
      <x:c r="U16" s="13"/>
      <x:c r="V16" s="13"/>
      <x:c r="W16" s="16"/>
      <x:c r="X16" s="13"/>
      <x:c r="Y16" s="13"/>
      <x:c r="Z16" s="13"/>
      <x:c r="AA16" s="14" t="str">
        <x:f>IF(COUNTA(A16:Z16)=0,"",IF(OR(ISBLANK(A16),ISBLANK(B16),ISBLANK(C16),ISBLANK(D16),ISBLANK(E16),ISBLANK(F16),ISBLANK(G16),ISBLANK(H16),ISBLANK(I16),ISBLANK(J16),ISBLANK(K16),ISBLANK(L16),ISBLANK(M16),ISBLANK(N16),ISBLANK(O16),ISBLANK(P16),ISBLANK(Q16),ISBLANK(R16),ISBLANK(S16),ISBLANK(T16),ISBLANK(U16),ISBLANK(V16),ISBLANK(W16),ISBLANK(X16),ISBLANK(Y16)),"필수값 입력",IF(COUNTIFS($A$5:$A$104,A16)&gt;1,"중복 ID",IF(AND(IF(ISNUMBER(B16),AND(B16&gt;=1,MOD(B16,1)=0),FALSE),OR(C16="A",C16="B"),OR(D16=1,D16=2),OR(H16="PASS",H16="FAIL"),OR(I16="PASS",I16="FAIL"),OR(J16="PASS",J16="FAIL"),IF(ISNUMBER(K16),AND(K16&gt;=0,MOD(K16,1)=0),FALSE),IF(ISNUMBER(L16),AND(L16&gt;=0,MOD(L16,1)=0),FALSE),IF(ISNUMBER(M16),AND(M16&gt;=0,MOD(M16,1)=0),FALSE),IF(ISNUMBER(S16),AND(S16&gt;=0,MOD(S16,1)=0),FALSE),IF(ISNUMBER(T16),AND(T16&gt;=0,MOD(T16,1)=0),FALSE),IF(ISNUMBER(P16),AND(P16&gt;=0),FALSE),IF(ISNUMBER(Q16),AND(Q16&gt;=0),FALSE),IF(ISNUMBER(W16),AND(W16&gt;=0),FALSE),IF(ISNUMBER(R16),AND(R16&gt;=0,R16&lt;360),FALSE),Y16="FIELD_MEASUREMENT"),"유효 기록","입력 확인"))))</x:f>
      </x:c>
    </x:row>
    <x:row r="17" ht="22" customHeight="1">
      <x:c r="A17" s="13"/>
      <x:c r="B17" s="15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6"/>
      <x:c r="Q17" s="16"/>
      <x:c r="R17" s="16"/>
      <x:c r="S17" s="13"/>
      <x:c r="T17" s="13"/>
      <x:c r="U17" s="13"/>
      <x:c r="V17" s="13"/>
      <x:c r="W17" s="16"/>
      <x:c r="X17" s="13"/>
      <x:c r="Y17" s="13"/>
      <x:c r="Z17" s="13"/>
      <x:c r="AA17" s="14" t="str">
        <x:f>IF(COUNTA(A17:Z17)=0,"",IF(OR(ISBLANK(A17),ISBLANK(B17),ISBLANK(C17),ISBLANK(D17),ISBLANK(E17),ISBLANK(F17),ISBLANK(G17),ISBLANK(H17),ISBLANK(I17),ISBLANK(J17),ISBLANK(K17),ISBLANK(L17),ISBLANK(M17),ISBLANK(N17),ISBLANK(O17),ISBLANK(P17),ISBLANK(Q17),ISBLANK(R17),ISBLANK(S17),ISBLANK(T17),ISBLANK(U17),ISBLANK(V17),ISBLANK(W17),ISBLANK(X17),ISBLANK(Y17)),"필수값 입력",IF(COUNTIFS($A$5:$A$104,A17)&gt;1,"중복 ID",IF(AND(IF(ISNUMBER(B17),AND(B17&gt;=1,MOD(B17,1)=0),FALSE),OR(C17="A",C17="B"),OR(D17=1,D17=2),OR(H17="PASS",H17="FAIL"),OR(I17="PASS",I17="FAIL"),OR(J17="PASS",J17="FAIL"),IF(ISNUMBER(K17),AND(K17&gt;=0,MOD(K17,1)=0),FALSE),IF(ISNUMBER(L17),AND(L17&gt;=0,MOD(L17,1)=0),FALSE),IF(ISNUMBER(M17),AND(M17&gt;=0,MOD(M17,1)=0),FALSE),IF(ISNUMBER(S17),AND(S17&gt;=0,MOD(S17,1)=0),FALSE),IF(ISNUMBER(T17),AND(T17&gt;=0,MOD(T17,1)=0),FALSE),IF(ISNUMBER(P17),AND(P17&gt;=0),FALSE),IF(ISNUMBER(Q17),AND(Q17&gt;=0),FALSE),IF(ISNUMBER(W17),AND(W17&gt;=0),FALSE),IF(ISNUMBER(R17),AND(R17&gt;=0,R17&lt;360),FALSE),Y17="FIELD_MEASUREMENT"),"유효 기록","입력 확인"))))</x:f>
      </x:c>
    </x:row>
    <x:row r="18" ht="22" customHeight="1">
      <x:c r="A18" s="13"/>
      <x:c r="B18" s="15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6"/>
      <x:c r="Q18" s="16"/>
      <x:c r="R18" s="16"/>
      <x:c r="S18" s="13"/>
      <x:c r="T18" s="13"/>
      <x:c r="U18" s="13"/>
      <x:c r="V18" s="13"/>
      <x:c r="W18" s="16"/>
      <x:c r="X18" s="13"/>
      <x:c r="Y18" s="13"/>
      <x:c r="Z18" s="13"/>
      <x:c r="AA18" s="14" t="str">
        <x:f>IF(COUNTA(A18:Z18)=0,"",IF(OR(ISBLANK(A18),ISBLANK(B18),ISBLANK(C18),ISBLANK(D18),ISBLANK(E18),ISBLANK(F18),ISBLANK(G18),ISBLANK(H18),ISBLANK(I18),ISBLANK(J18),ISBLANK(K18),ISBLANK(L18),ISBLANK(M18),ISBLANK(N18),ISBLANK(O18),ISBLANK(P18),ISBLANK(Q18),ISBLANK(R18),ISBLANK(S18),ISBLANK(T18),ISBLANK(U18),ISBLANK(V18),ISBLANK(W18),ISBLANK(X18),ISBLANK(Y18)),"필수값 입력",IF(COUNTIFS($A$5:$A$104,A18)&gt;1,"중복 ID",IF(AND(IF(ISNUMBER(B18),AND(B18&gt;=1,MOD(B18,1)=0),FALSE),OR(C18="A",C18="B"),OR(D18=1,D18=2),OR(H18="PASS",H18="FAIL"),OR(I18="PASS",I18="FAIL"),OR(J18="PASS",J18="FAIL"),IF(ISNUMBER(K18),AND(K18&gt;=0,MOD(K18,1)=0),FALSE),IF(ISNUMBER(L18),AND(L18&gt;=0,MOD(L18,1)=0),FALSE),IF(ISNUMBER(M18),AND(M18&gt;=0,MOD(M18,1)=0),FALSE),IF(ISNUMBER(S18),AND(S18&gt;=0,MOD(S18,1)=0),FALSE),IF(ISNUMBER(T18),AND(T18&gt;=0,MOD(T18,1)=0),FALSE),IF(ISNUMBER(P18),AND(P18&gt;=0),FALSE),IF(ISNUMBER(Q18),AND(Q18&gt;=0),FALSE),IF(ISNUMBER(W18),AND(W18&gt;=0),FALSE),IF(ISNUMBER(R18),AND(R18&gt;=0,R18&lt;360),FALSE),Y18="FIELD_MEASUREMENT"),"유효 기록","입력 확인"))))</x:f>
      </x:c>
    </x:row>
    <x:row r="19" ht="22" customHeight="1">
      <x:c r="A19" s="13"/>
      <x:c r="B19" s="15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6"/>
      <x:c r="Q19" s="16"/>
      <x:c r="R19" s="16"/>
      <x:c r="S19" s="13"/>
      <x:c r="T19" s="13"/>
      <x:c r="U19" s="13"/>
      <x:c r="V19" s="13"/>
      <x:c r="W19" s="16"/>
      <x:c r="X19" s="13"/>
      <x:c r="Y19" s="13"/>
      <x:c r="Z19" s="13"/>
      <x:c r="AA19" s="14" t="str">
        <x:f>IF(COUNTA(A19:Z19)=0,"",IF(OR(ISBLANK(A19),ISBLANK(B19),ISBLANK(C19),ISBLANK(D19),ISBLANK(E19),ISBLANK(F19),ISBLANK(G19),ISBLANK(H19),ISBLANK(I19),ISBLANK(J19),ISBLANK(K19),ISBLANK(L19),ISBLANK(M19),ISBLANK(N19),ISBLANK(O19),ISBLANK(P19),ISBLANK(Q19),ISBLANK(R19),ISBLANK(S19),ISBLANK(T19),ISBLANK(U19),ISBLANK(V19),ISBLANK(W19),ISBLANK(X19),ISBLANK(Y19)),"필수값 입력",IF(COUNTIFS($A$5:$A$104,A19)&gt;1,"중복 ID",IF(AND(IF(ISNUMBER(B19),AND(B19&gt;=1,MOD(B19,1)=0),FALSE),OR(C19="A",C19="B"),OR(D19=1,D19=2),OR(H19="PASS",H19="FAIL"),OR(I19="PASS",I19="FAIL"),OR(J19="PASS",J19="FAIL"),IF(ISNUMBER(K19),AND(K19&gt;=0,MOD(K19,1)=0),FALSE),IF(ISNUMBER(L19),AND(L19&gt;=0,MOD(L19,1)=0),FALSE),IF(ISNUMBER(M19),AND(M19&gt;=0,MOD(M19,1)=0),FALSE),IF(ISNUMBER(S19),AND(S19&gt;=0,MOD(S19,1)=0),FALSE),IF(ISNUMBER(T19),AND(T19&gt;=0,MOD(T19,1)=0),FALSE),IF(ISNUMBER(P19),AND(P19&gt;=0),FALSE),IF(ISNUMBER(Q19),AND(Q19&gt;=0),FALSE),IF(ISNUMBER(W19),AND(W19&gt;=0),FALSE),IF(ISNUMBER(R19),AND(R19&gt;=0,R19&lt;360),FALSE),Y19="FIELD_MEASUREMENT"),"유효 기록","입력 확인"))))</x:f>
      </x:c>
    </x:row>
    <x:row r="20" ht="22" customHeight="1">
      <x:c r="A20" s="13"/>
      <x:c r="B20" s="15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6"/>
      <x:c r="Q20" s="16"/>
      <x:c r="R20" s="16"/>
      <x:c r="S20" s="13"/>
      <x:c r="T20" s="13"/>
      <x:c r="U20" s="13"/>
      <x:c r="V20" s="13"/>
      <x:c r="W20" s="16"/>
      <x:c r="X20" s="13"/>
      <x:c r="Y20" s="13"/>
      <x:c r="Z20" s="13"/>
      <x:c r="AA20" s="14" t="str">
        <x:f>IF(COUNTA(A20:Z20)=0,"",IF(OR(ISBLANK(A20),ISBLANK(B20),ISBLANK(C20),ISBLANK(D20),ISBLANK(E20),ISBLANK(F20),ISBLANK(G20),ISBLANK(H20),ISBLANK(I20),ISBLANK(J20),ISBLANK(K20),ISBLANK(L20),ISBLANK(M20),ISBLANK(N20),ISBLANK(O20),ISBLANK(P20),ISBLANK(Q20),ISBLANK(R20),ISBLANK(S20),ISBLANK(T20),ISBLANK(U20),ISBLANK(V20),ISBLANK(W20),ISBLANK(X20),ISBLANK(Y20)),"필수값 입력",IF(COUNTIFS($A$5:$A$104,A20)&gt;1,"중복 ID",IF(AND(IF(ISNUMBER(B20),AND(B20&gt;=1,MOD(B20,1)=0),FALSE),OR(C20="A",C20="B"),OR(D20=1,D20=2),OR(H20="PASS",H20="FAIL"),OR(I20="PASS",I20="FAIL"),OR(J20="PASS",J20="FAIL"),IF(ISNUMBER(K20),AND(K20&gt;=0,MOD(K20,1)=0),FALSE),IF(ISNUMBER(L20),AND(L20&gt;=0,MOD(L20,1)=0),FALSE),IF(ISNUMBER(M20),AND(M20&gt;=0,MOD(M20,1)=0),FALSE),IF(ISNUMBER(S20),AND(S20&gt;=0,MOD(S20,1)=0),FALSE),IF(ISNUMBER(T20),AND(T20&gt;=0,MOD(T20,1)=0),FALSE),IF(ISNUMBER(P20),AND(P20&gt;=0),FALSE),IF(ISNUMBER(Q20),AND(Q20&gt;=0),FALSE),IF(ISNUMBER(W20),AND(W20&gt;=0),FALSE),IF(ISNUMBER(R20),AND(R20&gt;=0,R20&lt;360),FALSE),Y20="FIELD_MEASUREMENT"),"유효 기록","입력 확인"))))</x:f>
      </x:c>
    </x:row>
    <x:row r="21" ht="22" customHeight="1">
      <x:c r="A21" s="13"/>
      <x:c r="B21" s="15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6"/>
      <x:c r="Q21" s="16"/>
      <x:c r="R21" s="16"/>
      <x:c r="S21" s="13"/>
      <x:c r="T21" s="13"/>
      <x:c r="U21" s="13"/>
      <x:c r="V21" s="13"/>
      <x:c r="W21" s="16"/>
      <x:c r="X21" s="13"/>
      <x:c r="Y21" s="13"/>
      <x:c r="Z21" s="13"/>
      <x:c r="AA21" s="14" t="str">
        <x:f>IF(COUNTA(A21:Z21)=0,"",IF(OR(ISBLANK(A21),ISBLANK(B21),ISBLANK(C21),ISBLANK(D21),ISBLANK(E21),ISBLANK(F21),ISBLANK(G21),ISBLANK(H21),ISBLANK(I21),ISBLANK(J21),ISBLANK(K21),ISBLANK(L21),ISBLANK(M21),ISBLANK(N21),ISBLANK(O21),ISBLANK(P21),ISBLANK(Q21),ISBLANK(R21),ISBLANK(S21),ISBLANK(T21),ISBLANK(U21),ISBLANK(V21),ISBLANK(W21),ISBLANK(X21),ISBLANK(Y21)),"필수값 입력",IF(COUNTIFS($A$5:$A$104,A21)&gt;1,"중복 ID",IF(AND(IF(ISNUMBER(B21),AND(B21&gt;=1,MOD(B21,1)=0),FALSE),OR(C21="A",C21="B"),OR(D21=1,D21=2),OR(H21="PASS",H21="FAIL"),OR(I21="PASS",I21="FAIL"),OR(J21="PASS",J21="FAIL"),IF(ISNUMBER(K21),AND(K21&gt;=0,MOD(K21,1)=0),FALSE),IF(ISNUMBER(L21),AND(L21&gt;=0,MOD(L21,1)=0),FALSE),IF(ISNUMBER(M21),AND(M21&gt;=0,MOD(M21,1)=0),FALSE),IF(ISNUMBER(S21),AND(S21&gt;=0,MOD(S21,1)=0),FALSE),IF(ISNUMBER(T21),AND(T21&gt;=0,MOD(T21,1)=0),FALSE),IF(ISNUMBER(P21),AND(P21&gt;=0),FALSE),IF(ISNUMBER(Q21),AND(Q21&gt;=0),FALSE),IF(ISNUMBER(W21),AND(W21&gt;=0),FALSE),IF(ISNUMBER(R21),AND(R21&gt;=0,R21&lt;360),FALSE),Y21="FIELD_MEASUREMENT"),"유효 기록","입력 확인"))))</x:f>
      </x:c>
    </x:row>
    <x:row r="22" ht="22" customHeight="1">
      <x:c r="A22" s="13"/>
      <x:c r="B22" s="15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6"/>
      <x:c r="Q22" s="16"/>
      <x:c r="R22" s="16"/>
      <x:c r="S22" s="13"/>
      <x:c r="T22" s="13"/>
      <x:c r="U22" s="13"/>
      <x:c r="V22" s="13"/>
      <x:c r="W22" s="16"/>
      <x:c r="X22" s="13"/>
      <x:c r="Y22" s="13"/>
      <x:c r="Z22" s="13"/>
      <x:c r="AA22" s="14" t="str">
        <x:f>IF(COUNTA(A22:Z22)=0,"",IF(OR(ISBLANK(A22),ISBLANK(B22),ISBLANK(C22),ISBLANK(D22),ISBLANK(E22),ISBLANK(F22),ISBLANK(G22),ISBLANK(H22),ISBLANK(I22),ISBLANK(J22),ISBLANK(K22),ISBLANK(L22),ISBLANK(M22),ISBLANK(N22),ISBLANK(O22),ISBLANK(P22),ISBLANK(Q22),ISBLANK(R22),ISBLANK(S22),ISBLANK(T22),ISBLANK(U22),ISBLANK(V22),ISBLANK(W22),ISBLANK(X22),ISBLANK(Y22)),"필수값 입력",IF(COUNTIFS($A$5:$A$104,A22)&gt;1,"중복 ID",IF(AND(IF(ISNUMBER(B22),AND(B22&gt;=1,MOD(B22,1)=0),FALSE),OR(C22="A",C22="B"),OR(D22=1,D22=2),OR(H22="PASS",H22="FAIL"),OR(I22="PASS",I22="FAIL"),OR(J22="PASS",J22="FAIL"),IF(ISNUMBER(K22),AND(K22&gt;=0,MOD(K22,1)=0),FALSE),IF(ISNUMBER(L22),AND(L22&gt;=0,MOD(L22,1)=0),FALSE),IF(ISNUMBER(M22),AND(M22&gt;=0,MOD(M22,1)=0),FALSE),IF(ISNUMBER(S22),AND(S22&gt;=0,MOD(S22,1)=0),FALSE),IF(ISNUMBER(T22),AND(T22&gt;=0,MOD(T22,1)=0),FALSE),IF(ISNUMBER(P22),AND(P22&gt;=0),FALSE),IF(ISNUMBER(Q22),AND(Q22&gt;=0),FALSE),IF(ISNUMBER(W22),AND(W22&gt;=0),FALSE),IF(ISNUMBER(R22),AND(R22&gt;=0,R22&lt;360),FALSE),Y22="FIELD_MEASUREMENT"),"유효 기록","입력 확인"))))</x:f>
      </x:c>
    </x:row>
    <x:row r="23" ht="22" customHeight="1">
      <x:c r="A23" s="13"/>
      <x:c r="B23" s="15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6"/>
      <x:c r="Q23" s="16"/>
      <x:c r="R23" s="16"/>
      <x:c r="S23" s="13"/>
      <x:c r="T23" s="13"/>
      <x:c r="U23" s="13"/>
      <x:c r="V23" s="13"/>
      <x:c r="W23" s="16"/>
      <x:c r="X23" s="13"/>
      <x:c r="Y23" s="13"/>
      <x:c r="Z23" s="13"/>
      <x:c r="AA23" s="14" t="str">
        <x:f>IF(COUNTA(A23:Z23)=0,"",IF(OR(ISBLANK(A23),ISBLANK(B23),ISBLANK(C23),ISBLANK(D23),ISBLANK(E23),ISBLANK(F23),ISBLANK(G23),ISBLANK(H23),ISBLANK(I23),ISBLANK(J23),ISBLANK(K23),ISBLANK(L23),ISBLANK(M23),ISBLANK(N23),ISBLANK(O23),ISBLANK(P23),ISBLANK(Q23),ISBLANK(R23),ISBLANK(S23),ISBLANK(T23),ISBLANK(U23),ISBLANK(V23),ISBLANK(W23),ISBLANK(X23),ISBLANK(Y23)),"필수값 입력",IF(COUNTIFS($A$5:$A$104,A23)&gt;1,"중복 ID",IF(AND(IF(ISNUMBER(B23),AND(B23&gt;=1,MOD(B23,1)=0),FALSE),OR(C23="A",C23="B"),OR(D23=1,D23=2),OR(H23="PASS",H23="FAIL"),OR(I23="PASS",I23="FAIL"),OR(J23="PASS",J23="FAIL"),IF(ISNUMBER(K23),AND(K23&gt;=0,MOD(K23,1)=0),FALSE),IF(ISNUMBER(L23),AND(L23&gt;=0,MOD(L23,1)=0),FALSE),IF(ISNUMBER(M23),AND(M23&gt;=0,MOD(M23,1)=0),FALSE),IF(ISNUMBER(S23),AND(S23&gt;=0,MOD(S23,1)=0),FALSE),IF(ISNUMBER(T23),AND(T23&gt;=0,MOD(T23,1)=0),FALSE),IF(ISNUMBER(P23),AND(P23&gt;=0),FALSE),IF(ISNUMBER(Q23),AND(Q23&gt;=0),FALSE),IF(ISNUMBER(W23),AND(W23&gt;=0),FALSE),IF(ISNUMBER(R23),AND(R23&gt;=0,R23&lt;360),FALSE),Y23="FIELD_MEASUREMENT"),"유효 기록","입력 확인"))))</x:f>
      </x:c>
    </x:row>
    <x:row r="24" ht="22" customHeight="1">
      <x:c r="A24" s="13"/>
      <x:c r="B24" s="15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6"/>
      <x:c r="Q24" s="16"/>
      <x:c r="R24" s="16"/>
      <x:c r="S24" s="13"/>
      <x:c r="T24" s="13"/>
      <x:c r="U24" s="13"/>
      <x:c r="V24" s="13"/>
      <x:c r="W24" s="16"/>
      <x:c r="X24" s="13"/>
      <x:c r="Y24" s="13"/>
      <x:c r="Z24" s="13"/>
      <x:c r="AA24" s="14" t="str">
        <x:f>IF(COUNTA(A24:Z24)=0,"",IF(OR(ISBLANK(A24),ISBLANK(B24),ISBLANK(C24),ISBLANK(D24),ISBLANK(E24),ISBLANK(F24),ISBLANK(G24),ISBLANK(H24),ISBLANK(I24),ISBLANK(J24),ISBLANK(K24),ISBLANK(L24),ISBLANK(M24),ISBLANK(N24),ISBLANK(O24),ISBLANK(P24),ISBLANK(Q24),ISBLANK(R24),ISBLANK(S24),ISBLANK(T24),ISBLANK(U24),ISBLANK(V24),ISBLANK(W24),ISBLANK(X24),ISBLANK(Y24)),"필수값 입력",IF(COUNTIFS($A$5:$A$104,A24)&gt;1,"중복 ID",IF(AND(IF(ISNUMBER(B24),AND(B24&gt;=1,MOD(B24,1)=0),FALSE),OR(C24="A",C24="B"),OR(D24=1,D24=2),OR(H24="PASS",H24="FAIL"),OR(I24="PASS",I24="FAIL"),OR(J24="PASS",J24="FAIL"),IF(ISNUMBER(K24),AND(K24&gt;=0,MOD(K24,1)=0),FALSE),IF(ISNUMBER(L24),AND(L24&gt;=0,MOD(L24,1)=0),FALSE),IF(ISNUMBER(M24),AND(M24&gt;=0,MOD(M24,1)=0),FALSE),IF(ISNUMBER(S24),AND(S24&gt;=0,MOD(S24,1)=0),FALSE),IF(ISNUMBER(T24),AND(T24&gt;=0,MOD(T24,1)=0),FALSE),IF(ISNUMBER(P24),AND(P24&gt;=0),FALSE),IF(ISNUMBER(Q24),AND(Q24&gt;=0),FALSE),IF(ISNUMBER(W24),AND(W24&gt;=0),FALSE),IF(ISNUMBER(R24),AND(R24&gt;=0,R24&lt;360),FALSE),Y24="FIELD_MEASUREMENT"),"유효 기록","입력 확인"))))</x:f>
      </x:c>
    </x:row>
    <x:row r="25" ht="22" customHeight="1">
      <x:c r="A25" s="13"/>
      <x:c r="B25" s="15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6"/>
      <x:c r="Q25" s="16"/>
      <x:c r="R25" s="16"/>
      <x:c r="S25" s="13"/>
      <x:c r="T25" s="13"/>
      <x:c r="U25" s="13"/>
      <x:c r="V25" s="13"/>
      <x:c r="W25" s="16"/>
      <x:c r="X25" s="13"/>
      <x:c r="Y25" s="13"/>
      <x:c r="Z25" s="13"/>
      <x:c r="AA25" s="14" t="str">
        <x:f>IF(COUNTA(A25:Z25)=0,"",IF(OR(ISBLANK(A25),ISBLANK(B25),ISBLANK(C25),ISBLANK(D25),ISBLANK(E25),ISBLANK(F25),ISBLANK(G25),ISBLANK(H25),ISBLANK(I25),ISBLANK(J25),ISBLANK(K25),ISBLANK(L25),ISBLANK(M25),ISBLANK(N25),ISBLANK(O25),ISBLANK(P25),ISBLANK(Q25),ISBLANK(R25),ISBLANK(S25),ISBLANK(T25),ISBLANK(U25),ISBLANK(V25),ISBLANK(W25),ISBLANK(X25),ISBLANK(Y25)),"필수값 입력",IF(COUNTIFS($A$5:$A$104,A25)&gt;1,"중복 ID",IF(AND(IF(ISNUMBER(B25),AND(B25&gt;=1,MOD(B25,1)=0),FALSE),OR(C25="A",C25="B"),OR(D25=1,D25=2),OR(H25="PASS",H25="FAIL"),OR(I25="PASS",I25="FAIL"),OR(J25="PASS",J25="FAIL"),IF(ISNUMBER(K25),AND(K25&gt;=0,MOD(K25,1)=0),FALSE),IF(ISNUMBER(L25),AND(L25&gt;=0,MOD(L25,1)=0),FALSE),IF(ISNUMBER(M25),AND(M25&gt;=0,MOD(M25,1)=0),FALSE),IF(ISNUMBER(S25),AND(S25&gt;=0,MOD(S25,1)=0),FALSE),IF(ISNUMBER(T25),AND(T25&gt;=0,MOD(T25,1)=0),FALSE),IF(ISNUMBER(P25),AND(P25&gt;=0),FALSE),IF(ISNUMBER(Q25),AND(Q25&gt;=0),FALSE),IF(ISNUMBER(W25),AND(W25&gt;=0),FALSE),IF(ISNUMBER(R25),AND(R25&gt;=0,R25&lt;360),FALSE),Y25="FIELD_MEASUREMENT"),"유효 기록","입력 확인"))))</x:f>
      </x:c>
    </x:row>
    <x:row r="26" ht="22" customHeight="1">
      <x:c r="A26" s="13"/>
      <x:c r="B26" s="15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6"/>
      <x:c r="Q26" s="16"/>
      <x:c r="R26" s="16"/>
      <x:c r="S26" s="13"/>
      <x:c r="T26" s="13"/>
      <x:c r="U26" s="13"/>
      <x:c r="V26" s="13"/>
      <x:c r="W26" s="16"/>
      <x:c r="X26" s="13"/>
      <x:c r="Y26" s="13"/>
      <x:c r="Z26" s="13"/>
      <x:c r="AA26" s="14" t="str">
        <x:f>IF(COUNTA(A26:Z26)=0,"",IF(OR(ISBLANK(A26),ISBLANK(B26),ISBLANK(C26),ISBLANK(D26),ISBLANK(E26),ISBLANK(F26),ISBLANK(G26),ISBLANK(H26),ISBLANK(I26),ISBLANK(J26),ISBLANK(K26),ISBLANK(L26),ISBLANK(M26),ISBLANK(N26),ISBLANK(O26),ISBLANK(P26),ISBLANK(Q26),ISBLANK(R26),ISBLANK(S26),ISBLANK(T26),ISBLANK(U26),ISBLANK(V26),ISBLANK(W26),ISBLANK(X26),ISBLANK(Y26)),"필수값 입력",IF(COUNTIFS($A$5:$A$104,A26)&gt;1,"중복 ID",IF(AND(IF(ISNUMBER(B26),AND(B26&gt;=1,MOD(B26,1)=0),FALSE),OR(C26="A",C26="B"),OR(D26=1,D26=2),OR(H26="PASS",H26="FAIL"),OR(I26="PASS",I26="FAIL"),OR(J26="PASS",J26="FAIL"),IF(ISNUMBER(K26),AND(K26&gt;=0,MOD(K26,1)=0),FALSE),IF(ISNUMBER(L26),AND(L26&gt;=0,MOD(L26,1)=0),FALSE),IF(ISNUMBER(M26),AND(M26&gt;=0,MOD(M26,1)=0),FALSE),IF(ISNUMBER(S26),AND(S26&gt;=0,MOD(S26,1)=0),FALSE),IF(ISNUMBER(T26),AND(T26&gt;=0,MOD(T26,1)=0),FALSE),IF(ISNUMBER(P26),AND(P26&gt;=0),FALSE),IF(ISNUMBER(Q26),AND(Q26&gt;=0),FALSE),IF(ISNUMBER(W26),AND(W26&gt;=0),FALSE),IF(ISNUMBER(R26),AND(R26&gt;=0,R26&lt;360),FALSE),Y26="FIELD_MEASUREMENT"),"유효 기록","입력 확인"))))</x:f>
      </x:c>
    </x:row>
    <x:row r="27" ht="22" customHeight="1">
      <x:c r="A27" s="13"/>
      <x:c r="B27" s="15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6"/>
      <x:c r="Q27" s="16"/>
      <x:c r="R27" s="16"/>
      <x:c r="S27" s="13"/>
      <x:c r="T27" s="13"/>
      <x:c r="U27" s="13"/>
      <x:c r="V27" s="13"/>
      <x:c r="W27" s="16"/>
      <x:c r="X27" s="13"/>
      <x:c r="Y27" s="13"/>
      <x:c r="Z27" s="13"/>
      <x:c r="AA27" s="14" t="str">
        <x:f>IF(COUNTA(A27:Z27)=0,"",IF(OR(ISBLANK(A27),ISBLANK(B27),ISBLANK(C27),ISBLANK(D27),ISBLANK(E27),ISBLANK(F27),ISBLANK(G27),ISBLANK(H27),ISBLANK(I27),ISBLANK(J27),ISBLANK(K27),ISBLANK(L27),ISBLANK(M27),ISBLANK(N27),ISBLANK(O27),ISBLANK(P27),ISBLANK(Q27),ISBLANK(R27),ISBLANK(S27),ISBLANK(T27),ISBLANK(U27),ISBLANK(V27),ISBLANK(W27),ISBLANK(X27),ISBLANK(Y27)),"필수값 입력",IF(COUNTIFS($A$5:$A$104,A27)&gt;1,"중복 ID",IF(AND(IF(ISNUMBER(B27),AND(B27&gt;=1,MOD(B27,1)=0),FALSE),OR(C27="A",C27="B"),OR(D27=1,D27=2),OR(H27="PASS",H27="FAIL"),OR(I27="PASS",I27="FAIL"),OR(J27="PASS",J27="FAIL"),IF(ISNUMBER(K27),AND(K27&gt;=0,MOD(K27,1)=0),FALSE),IF(ISNUMBER(L27),AND(L27&gt;=0,MOD(L27,1)=0),FALSE),IF(ISNUMBER(M27),AND(M27&gt;=0,MOD(M27,1)=0),FALSE),IF(ISNUMBER(S27),AND(S27&gt;=0,MOD(S27,1)=0),FALSE),IF(ISNUMBER(T27),AND(T27&gt;=0,MOD(T27,1)=0),FALSE),IF(ISNUMBER(P27),AND(P27&gt;=0),FALSE),IF(ISNUMBER(Q27),AND(Q27&gt;=0),FALSE),IF(ISNUMBER(W27),AND(W27&gt;=0),FALSE),IF(ISNUMBER(R27),AND(R27&gt;=0,R27&lt;360),FALSE),Y27="FIELD_MEASUREMENT"),"유효 기록","입력 확인"))))</x:f>
      </x:c>
    </x:row>
    <x:row r="28" ht="22" customHeight="1">
      <x:c r="A28" s="13"/>
      <x:c r="B28" s="15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6"/>
      <x:c r="Q28" s="16"/>
      <x:c r="R28" s="16"/>
      <x:c r="S28" s="13"/>
      <x:c r="T28" s="13"/>
      <x:c r="U28" s="13"/>
      <x:c r="V28" s="13"/>
      <x:c r="W28" s="16"/>
      <x:c r="X28" s="13"/>
      <x:c r="Y28" s="13"/>
      <x:c r="Z28" s="13"/>
      <x:c r="AA28" s="14" t="str">
        <x:f>IF(COUNTA(A28:Z28)=0,"",IF(OR(ISBLANK(A28),ISBLANK(B28),ISBLANK(C28),ISBLANK(D28),ISBLANK(E28),ISBLANK(F28),ISBLANK(G28),ISBLANK(H28),ISBLANK(I28),ISBLANK(J28),ISBLANK(K28),ISBLANK(L28),ISBLANK(M28),ISBLANK(N28),ISBLANK(O28),ISBLANK(P28),ISBLANK(Q28),ISBLANK(R28),ISBLANK(S28),ISBLANK(T28),ISBLANK(U28),ISBLANK(V28),ISBLANK(W28),ISBLANK(X28),ISBLANK(Y28)),"필수값 입력",IF(COUNTIFS($A$5:$A$104,A28)&gt;1,"중복 ID",IF(AND(IF(ISNUMBER(B28),AND(B28&gt;=1,MOD(B28,1)=0),FALSE),OR(C28="A",C28="B"),OR(D28=1,D28=2),OR(H28="PASS",H28="FAIL"),OR(I28="PASS",I28="FAIL"),OR(J28="PASS",J28="FAIL"),IF(ISNUMBER(K28),AND(K28&gt;=0,MOD(K28,1)=0),FALSE),IF(ISNUMBER(L28),AND(L28&gt;=0,MOD(L28,1)=0),FALSE),IF(ISNUMBER(M28),AND(M28&gt;=0,MOD(M28,1)=0),FALSE),IF(ISNUMBER(S28),AND(S28&gt;=0,MOD(S28,1)=0),FALSE),IF(ISNUMBER(T28),AND(T28&gt;=0,MOD(T28,1)=0),FALSE),IF(ISNUMBER(P28),AND(P28&gt;=0),FALSE),IF(ISNUMBER(Q28),AND(Q28&gt;=0),FALSE),IF(ISNUMBER(W28),AND(W28&gt;=0),FALSE),IF(ISNUMBER(R28),AND(R28&gt;=0,R28&lt;360),FALSE),Y28="FIELD_MEASUREMENT"),"유효 기록","입력 확인"))))</x:f>
      </x:c>
    </x:row>
    <x:row r="29" ht="22" customHeight="1">
      <x:c r="A29" s="13"/>
      <x:c r="B29" s="15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6"/>
      <x:c r="Q29" s="16"/>
      <x:c r="R29" s="16"/>
      <x:c r="S29" s="13"/>
      <x:c r="T29" s="13"/>
      <x:c r="U29" s="13"/>
      <x:c r="V29" s="13"/>
      <x:c r="W29" s="16"/>
      <x:c r="X29" s="13"/>
      <x:c r="Y29" s="13"/>
      <x:c r="Z29" s="13"/>
      <x:c r="AA29" s="14" t="str">
        <x:f>IF(COUNTA(A29:Z29)=0,"",IF(OR(ISBLANK(A29),ISBLANK(B29),ISBLANK(C29),ISBLANK(D29),ISBLANK(E29),ISBLANK(F29),ISBLANK(G29),ISBLANK(H29),ISBLANK(I29),ISBLANK(J29),ISBLANK(K29),ISBLANK(L29),ISBLANK(M29),ISBLANK(N29),ISBLANK(O29),ISBLANK(P29),ISBLANK(Q29),ISBLANK(R29),ISBLANK(S29),ISBLANK(T29),ISBLANK(U29),ISBLANK(V29),ISBLANK(W29),ISBLANK(X29),ISBLANK(Y29)),"필수값 입력",IF(COUNTIFS($A$5:$A$104,A29)&gt;1,"중복 ID",IF(AND(IF(ISNUMBER(B29),AND(B29&gt;=1,MOD(B29,1)=0),FALSE),OR(C29="A",C29="B"),OR(D29=1,D29=2),OR(H29="PASS",H29="FAIL"),OR(I29="PASS",I29="FAIL"),OR(J29="PASS",J29="FAIL"),IF(ISNUMBER(K29),AND(K29&gt;=0,MOD(K29,1)=0),FALSE),IF(ISNUMBER(L29),AND(L29&gt;=0,MOD(L29,1)=0),FALSE),IF(ISNUMBER(M29),AND(M29&gt;=0,MOD(M29,1)=0),FALSE),IF(ISNUMBER(S29),AND(S29&gt;=0,MOD(S29,1)=0),FALSE),IF(ISNUMBER(T29),AND(T29&gt;=0,MOD(T29,1)=0),FALSE),IF(ISNUMBER(P29),AND(P29&gt;=0),FALSE),IF(ISNUMBER(Q29),AND(Q29&gt;=0),FALSE),IF(ISNUMBER(W29),AND(W29&gt;=0),FALSE),IF(ISNUMBER(R29),AND(R29&gt;=0,R29&lt;360),FALSE),Y29="FIELD_MEASUREMENT"),"유효 기록","입력 확인"))))</x:f>
      </x:c>
    </x:row>
    <x:row r="30" ht="22" customHeight="1">
      <x:c r="A30" s="13"/>
      <x:c r="B30" s="15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6"/>
      <x:c r="Q30" s="16"/>
      <x:c r="R30" s="16"/>
      <x:c r="S30" s="13"/>
      <x:c r="T30" s="13"/>
      <x:c r="U30" s="13"/>
      <x:c r="V30" s="13"/>
      <x:c r="W30" s="16"/>
      <x:c r="X30" s="13"/>
      <x:c r="Y30" s="13"/>
      <x:c r="Z30" s="13"/>
      <x:c r="AA30" s="14" t="str">
        <x:f>IF(COUNTA(A30:Z30)=0,"",IF(OR(ISBLANK(A30),ISBLANK(B30),ISBLANK(C30),ISBLANK(D30),ISBLANK(E30),ISBLANK(F30),ISBLANK(G30),ISBLANK(H30),ISBLANK(I30),ISBLANK(J30),ISBLANK(K30),ISBLANK(L30),ISBLANK(M30),ISBLANK(N30),ISBLANK(O30),ISBLANK(P30),ISBLANK(Q30),ISBLANK(R30),ISBLANK(S30),ISBLANK(T30),ISBLANK(U30),ISBLANK(V30),ISBLANK(W30),ISBLANK(X30),ISBLANK(Y30)),"필수값 입력",IF(COUNTIFS($A$5:$A$104,A30)&gt;1,"중복 ID",IF(AND(IF(ISNUMBER(B30),AND(B30&gt;=1,MOD(B30,1)=0),FALSE),OR(C30="A",C30="B"),OR(D30=1,D30=2),OR(H30="PASS",H30="FAIL"),OR(I30="PASS",I30="FAIL"),OR(J30="PASS",J30="FAIL"),IF(ISNUMBER(K30),AND(K30&gt;=0,MOD(K30,1)=0),FALSE),IF(ISNUMBER(L30),AND(L30&gt;=0,MOD(L30,1)=0),FALSE),IF(ISNUMBER(M30),AND(M30&gt;=0,MOD(M30,1)=0),FALSE),IF(ISNUMBER(S30),AND(S30&gt;=0,MOD(S30,1)=0),FALSE),IF(ISNUMBER(T30),AND(T30&gt;=0,MOD(T30,1)=0),FALSE),IF(ISNUMBER(P30),AND(P30&gt;=0),FALSE),IF(ISNUMBER(Q30),AND(Q30&gt;=0),FALSE),IF(ISNUMBER(W30),AND(W30&gt;=0),FALSE),IF(ISNUMBER(R30),AND(R30&gt;=0,R30&lt;360),FALSE),Y30="FIELD_MEASUREMENT"),"유효 기록","입력 확인"))))</x:f>
      </x:c>
    </x:row>
    <x:row r="31" ht="22" customHeight="1">
      <x:c r="A31" s="13"/>
      <x:c r="B31" s="15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6"/>
      <x:c r="Q31" s="16"/>
      <x:c r="R31" s="16"/>
      <x:c r="S31" s="13"/>
      <x:c r="T31" s="13"/>
      <x:c r="U31" s="13"/>
      <x:c r="V31" s="13"/>
      <x:c r="W31" s="16"/>
      <x:c r="X31" s="13"/>
      <x:c r="Y31" s="13"/>
      <x:c r="Z31" s="13"/>
      <x:c r="AA31" s="14" t="str">
        <x:f>IF(COUNTA(A31:Z31)=0,"",IF(OR(ISBLANK(A31),ISBLANK(B31),ISBLANK(C31),ISBLANK(D31),ISBLANK(E31),ISBLANK(F31),ISBLANK(G31),ISBLANK(H31),ISBLANK(I31),ISBLANK(J31),ISBLANK(K31),ISBLANK(L31),ISBLANK(M31),ISBLANK(N31),ISBLANK(O31),ISBLANK(P31),ISBLANK(Q31),ISBLANK(R31),ISBLANK(S31),ISBLANK(T31),ISBLANK(U31),ISBLANK(V31),ISBLANK(W31),ISBLANK(X31),ISBLANK(Y31)),"필수값 입력",IF(COUNTIFS($A$5:$A$104,A31)&gt;1,"중복 ID",IF(AND(IF(ISNUMBER(B31),AND(B31&gt;=1,MOD(B31,1)=0),FALSE),OR(C31="A",C31="B"),OR(D31=1,D31=2),OR(H31="PASS",H31="FAIL"),OR(I31="PASS",I31="FAIL"),OR(J31="PASS",J31="FAIL"),IF(ISNUMBER(K31),AND(K31&gt;=0,MOD(K31,1)=0),FALSE),IF(ISNUMBER(L31),AND(L31&gt;=0,MOD(L31,1)=0),FALSE),IF(ISNUMBER(M31),AND(M31&gt;=0,MOD(M31,1)=0),FALSE),IF(ISNUMBER(S31),AND(S31&gt;=0,MOD(S31,1)=0),FALSE),IF(ISNUMBER(T31),AND(T31&gt;=0,MOD(T31,1)=0),FALSE),IF(ISNUMBER(P31),AND(P31&gt;=0),FALSE),IF(ISNUMBER(Q31),AND(Q31&gt;=0),FALSE),IF(ISNUMBER(W31),AND(W31&gt;=0),FALSE),IF(ISNUMBER(R31),AND(R31&gt;=0,R31&lt;360),FALSE),Y31="FIELD_MEASUREMENT"),"유효 기록","입력 확인"))))</x:f>
      </x:c>
    </x:row>
    <x:row r="32" ht="22" customHeight="1">
      <x:c r="A32" s="13"/>
      <x:c r="B32" s="15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6"/>
      <x:c r="Q32" s="16"/>
      <x:c r="R32" s="16"/>
      <x:c r="S32" s="13"/>
      <x:c r="T32" s="13"/>
      <x:c r="U32" s="13"/>
      <x:c r="V32" s="13"/>
      <x:c r="W32" s="16"/>
      <x:c r="X32" s="13"/>
      <x:c r="Y32" s="13"/>
      <x:c r="Z32" s="13"/>
      <x:c r="AA32" s="14" t="str">
        <x:f>IF(COUNTA(A32:Z32)=0,"",IF(OR(ISBLANK(A32),ISBLANK(B32),ISBLANK(C32),ISBLANK(D32),ISBLANK(E32),ISBLANK(F32),ISBLANK(G32),ISBLANK(H32),ISBLANK(I32),ISBLANK(J32),ISBLANK(K32),ISBLANK(L32),ISBLANK(M32),ISBLANK(N32),ISBLANK(O32),ISBLANK(P32),ISBLANK(Q32),ISBLANK(R32),ISBLANK(S32),ISBLANK(T32),ISBLANK(U32),ISBLANK(V32),ISBLANK(W32),ISBLANK(X32),ISBLANK(Y32)),"필수값 입력",IF(COUNTIFS($A$5:$A$104,A32)&gt;1,"중복 ID",IF(AND(IF(ISNUMBER(B32),AND(B32&gt;=1,MOD(B32,1)=0),FALSE),OR(C32="A",C32="B"),OR(D32=1,D32=2),OR(H32="PASS",H32="FAIL"),OR(I32="PASS",I32="FAIL"),OR(J32="PASS",J32="FAIL"),IF(ISNUMBER(K32),AND(K32&gt;=0,MOD(K32,1)=0),FALSE),IF(ISNUMBER(L32),AND(L32&gt;=0,MOD(L32,1)=0),FALSE),IF(ISNUMBER(M32),AND(M32&gt;=0,MOD(M32,1)=0),FALSE),IF(ISNUMBER(S32),AND(S32&gt;=0,MOD(S32,1)=0),FALSE),IF(ISNUMBER(T32),AND(T32&gt;=0,MOD(T32,1)=0),FALSE),IF(ISNUMBER(P32),AND(P32&gt;=0),FALSE),IF(ISNUMBER(Q32),AND(Q32&gt;=0),FALSE),IF(ISNUMBER(W32),AND(W32&gt;=0),FALSE),IF(ISNUMBER(R32),AND(R32&gt;=0,R32&lt;360),FALSE),Y32="FIELD_MEASUREMENT"),"유효 기록","입력 확인"))))</x:f>
      </x:c>
    </x:row>
    <x:row r="33" ht="22" customHeight="1">
      <x:c r="A33" s="13"/>
      <x:c r="B33" s="15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6"/>
      <x:c r="Q33" s="16"/>
      <x:c r="R33" s="16"/>
      <x:c r="S33" s="13"/>
      <x:c r="T33" s="13"/>
      <x:c r="U33" s="13"/>
      <x:c r="V33" s="13"/>
      <x:c r="W33" s="16"/>
      <x:c r="X33" s="13"/>
      <x:c r="Y33" s="13"/>
      <x:c r="Z33" s="13"/>
      <x:c r="AA33" s="14" t="str">
        <x:f>IF(COUNTA(A33:Z33)=0,"",IF(OR(ISBLANK(A33),ISBLANK(B33),ISBLANK(C33),ISBLANK(D33),ISBLANK(E33),ISBLANK(F33),ISBLANK(G33),ISBLANK(H33),ISBLANK(I33),ISBLANK(J33),ISBLANK(K33),ISBLANK(L33),ISBLANK(M33),ISBLANK(N33),ISBLANK(O33),ISBLANK(P33),ISBLANK(Q33),ISBLANK(R33),ISBLANK(S33),ISBLANK(T33),ISBLANK(U33),ISBLANK(V33),ISBLANK(W33),ISBLANK(X33),ISBLANK(Y33)),"필수값 입력",IF(COUNTIFS($A$5:$A$104,A33)&gt;1,"중복 ID",IF(AND(IF(ISNUMBER(B33),AND(B33&gt;=1,MOD(B33,1)=0),FALSE),OR(C33="A",C33="B"),OR(D33=1,D33=2),OR(H33="PASS",H33="FAIL"),OR(I33="PASS",I33="FAIL"),OR(J33="PASS",J33="FAIL"),IF(ISNUMBER(K33),AND(K33&gt;=0,MOD(K33,1)=0),FALSE),IF(ISNUMBER(L33),AND(L33&gt;=0,MOD(L33,1)=0),FALSE),IF(ISNUMBER(M33),AND(M33&gt;=0,MOD(M33,1)=0),FALSE),IF(ISNUMBER(S33),AND(S33&gt;=0,MOD(S33,1)=0),FALSE),IF(ISNUMBER(T33),AND(T33&gt;=0,MOD(T33,1)=0),FALSE),IF(ISNUMBER(P33),AND(P33&gt;=0),FALSE),IF(ISNUMBER(Q33),AND(Q33&gt;=0),FALSE),IF(ISNUMBER(W33),AND(W33&gt;=0),FALSE),IF(ISNUMBER(R33),AND(R33&gt;=0,R33&lt;360),FALSE),Y33="FIELD_MEASUREMENT"),"유효 기록","입력 확인"))))</x:f>
      </x:c>
    </x:row>
    <x:row r="34" ht="22" customHeight="1">
      <x:c r="A34" s="13"/>
      <x:c r="B34" s="15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6"/>
      <x:c r="Q34" s="16"/>
      <x:c r="R34" s="16"/>
      <x:c r="S34" s="13"/>
      <x:c r="T34" s="13"/>
      <x:c r="U34" s="13"/>
      <x:c r="V34" s="13"/>
      <x:c r="W34" s="16"/>
      <x:c r="X34" s="13"/>
      <x:c r="Y34" s="13"/>
      <x:c r="Z34" s="13"/>
      <x:c r="AA34" s="14" t="str">
        <x:f>IF(COUNTA(A34:Z34)=0,"",IF(OR(ISBLANK(A34),ISBLANK(B34),ISBLANK(C34),ISBLANK(D34),ISBLANK(E34),ISBLANK(F34),ISBLANK(G34),ISBLANK(H34),ISBLANK(I34),ISBLANK(J34),ISBLANK(K34),ISBLANK(L34),ISBLANK(M34),ISBLANK(N34),ISBLANK(O34),ISBLANK(P34),ISBLANK(Q34),ISBLANK(R34),ISBLANK(S34),ISBLANK(T34),ISBLANK(U34),ISBLANK(V34),ISBLANK(W34),ISBLANK(X34),ISBLANK(Y34)),"필수값 입력",IF(COUNTIFS($A$5:$A$104,A34)&gt;1,"중복 ID",IF(AND(IF(ISNUMBER(B34),AND(B34&gt;=1,MOD(B34,1)=0),FALSE),OR(C34="A",C34="B"),OR(D34=1,D34=2),OR(H34="PASS",H34="FAIL"),OR(I34="PASS",I34="FAIL"),OR(J34="PASS",J34="FAIL"),IF(ISNUMBER(K34),AND(K34&gt;=0,MOD(K34,1)=0),FALSE),IF(ISNUMBER(L34),AND(L34&gt;=0,MOD(L34,1)=0),FALSE),IF(ISNUMBER(M34),AND(M34&gt;=0,MOD(M34,1)=0),FALSE),IF(ISNUMBER(S34),AND(S34&gt;=0,MOD(S34,1)=0),FALSE),IF(ISNUMBER(T34),AND(T34&gt;=0,MOD(T34,1)=0),FALSE),IF(ISNUMBER(P34),AND(P34&gt;=0),FALSE),IF(ISNUMBER(Q34),AND(Q34&gt;=0),FALSE),IF(ISNUMBER(W34),AND(W34&gt;=0),FALSE),IF(ISNUMBER(R34),AND(R34&gt;=0,R34&lt;360),FALSE),Y34="FIELD_MEASUREMENT"),"유효 기록","입력 확인"))))</x:f>
      </x:c>
    </x:row>
    <x:row r="35" ht="22" customHeight="1">
      <x:c r="A35" s="13"/>
      <x:c r="B35" s="15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6"/>
      <x:c r="Q35" s="16"/>
      <x:c r="R35" s="16"/>
      <x:c r="S35" s="13"/>
      <x:c r="T35" s="13"/>
      <x:c r="U35" s="13"/>
      <x:c r="V35" s="13"/>
      <x:c r="W35" s="16"/>
      <x:c r="X35" s="13"/>
      <x:c r="Y35" s="13"/>
      <x:c r="Z35" s="13"/>
      <x:c r="AA35" s="14" t="str">
        <x:f>IF(COUNTA(A35:Z35)=0,"",IF(OR(ISBLANK(A35),ISBLANK(B35),ISBLANK(C35),ISBLANK(D35),ISBLANK(E35),ISBLANK(F35),ISBLANK(G35),ISBLANK(H35),ISBLANK(I35),ISBLANK(J35),ISBLANK(K35),ISBLANK(L35),ISBLANK(M35),ISBLANK(N35),ISBLANK(O35),ISBLANK(P35),ISBLANK(Q35),ISBLANK(R35),ISBLANK(S35),ISBLANK(T35),ISBLANK(U35),ISBLANK(V35),ISBLANK(W35),ISBLANK(X35),ISBLANK(Y35)),"필수값 입력",IF(COUNTIFS($A$5:$A$104,A35)&gt;1,"중복 ID",IF(AND(IF(ISNUMBER(B35),AND(B35&gt;=1,MOD(B35,1)=0),FALSE),OR(C35="A",C35="B"),OR(D35=1,D35=2),OR(H35="PASS",H35="FAIL"),OR(I35="PASS",I35="FAIL"),OR(J35="PASS",J35="FAIL"),IF(ISNUMBER(K35),AND(K35&gt;=0,MOD(K35,1)=0),FALSE),IF(ISNUMBER(L35),AND(L35&gt;=0,MOD(L35,1)=0),FALSE),IF(ISNUMBER(M35),AND(M35&gt;=0,MOD(M35,1)=0),FALSE),IF(ISNUMBER(S35),AND(S35&gt;=0,MOD(S35,1)=0),FALSE),IF(ISNUMBER(T35),AND(T35&gt;=0,MOD(T35,1)=0),FALSE),IF(ISNUMBER(P35),AND(P35&gt;=0),FALSE),IF(ISNUMBER(Q35),AND(Q35&gt;=0),FALSE),IF(ISNUMBER(W35),AND(W35&gt;=0),FALSE),IF(ISNUMBER(R35),AND(R35&gt;=0,R35&lt;360),FALSE),Y35="FIELD_MEASUREMENT"),"유효 기록","입력 확인"))))</x:f>
      </x:c>
    </x:row>
    <x:row r="36" ht="22" customHeight="1">
      <x:c r="A36" s="13"/>
      <x:c r="B36" s="15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6"/>
      <x:c r="Q36" s="16"/>
      <x:c r="R36" s="16"/>
      <x:c r="S36" s="13"/>
      <x:c r="T36" s="13"/>
      <x:c r="U36" s="13"/>
      <x:c r="V36" s="13"/>
      <x:c r="W36" s="16"/>
      <x:c r="X36" s="13"/>
      <x:c r="Y36" s="13"/>
      <x:c r="Z36" s="13"/>
      <x:c r="AA36" s="14" t="str">
        <x:f>IF(COUNTA(A36:Z36)=0,"",IF(OR(ISBLANK(A36),ISBLANK(B36),ISBLANK(C36),ISBLANK(D36),ISBLANK(E36),ISBLANK(F36),ISBLANK(G36),ISBLANK(H36),ISBLANK(I36),ISBLANK(J36),ISBLANK(K36),ISBLANK(L36),ISBLANK(M36),ISBLANK(N36),ISBLANK(O36),ISBLANK(P36),ISBLANK(Q36),ISBLANK(R36),ISBLANK(S36),ISBLANK(T36),ISBLANK(U36),ISBLANK(V36),ISBLANK(W36),ISBLANK(X36),ISBLANK(Y36)),"필수값 입력",IF(COUNTIFS($A$5:$A$104,A36)&gt;1,"중복 ID",IF(AND(IF(ISNUMBER(B36),AND(B36&gt;=1,MOD(B36,1)=0),FALSE),OR(C36="A",C36="B"),OR(D36=1,D36=2),OR(H36="PASS",H36="FAIL"),OR(I36="PASS",I36="FAIL"),OR(J36="PASS",J36="FAIL"),IF(ISNUMBER(K36),AND(K36&gt;=0,MOD(K36,1)=0),FALSE),IF(ISNUMBER(L36),AND(L36&gt;=0,MOD(L36,1)=0),FALSE),IF(ISNUMBER(M36),AND(M36&gt;=0,MOD(M36,1)=0),FALSE),IF(ISNUMBER(S36),AND(S36&gt;=0,MOD(S36,1)=0),FALSE),IF(ISNUMBER(T36),AND(T36&gt;=0,MOD(T36,1)=0),FALSE),IF(ISNUMBER(P36),AND(P36&gt;=0),FALSE),IF(ISNUMBER(Q36),AND(Q36&gt;=0),FALSE),IF(ISNUMBER(W36),AND(W36&gt;=0),FALSE),IF(ISNUMBER(R36),AND(R36&gt;=0,R36&lt;360),FALSE),Y36="FIELD_MEASUREMENT"),"유효 기록","입력 확인"))))</x:f>
      </x:c>
    </x:row>
    <x:row r="37" ht="22" customHeight="1">
      <x:c r="A37" s="13"/>
      <x:c r="B37" s="15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6"/>
      <x:c r="Q37" s="16"/>
      <x:c r="R37" s="16"/>
      <x:c r="S37" s="13"/>
      <x:c r="T37" s="13"/>
      <x:c r="U37" s="13"/>
      <x:c r="V37" s="13"/>
      <x:c r="W37" s="16"/>
      <x:c r="X37" s="13"/>
      <x:c r="Y37" s="13"/>
      <x:c r="Z37" s="13"/>
      <x:c r="AA37" s="14" t="str">
        <x:f>IF(COUNTA(A37:Z37)=0,"",IF(OR(ISBLANK(A37),ISBLANK(B37),ISBLANK(C37),ISBLANK(D37),ISBLANK(E37),ISBLANK(F37),ISBLANK(G37),ISBLANK(H37),ISBLANK(I37),ISBLANK(J37),ISBLANK(K37),ISBLANK(L37),ISBLANK(M37),ISBLANK(N37),ISBLANK(O37),ISBLANK(P37),ISBLANK(Q37),ISBLANK(R37),ISBLANK(S37),ISBLANK(T37),ISBLANK(U37),ISBLANK(V37),ISBLANK(W37),ISBLANK(X37),ISBLANK(Y37)),"필수값 입력",IF(COUNTIFS($A$5:$A$104,A37)&gt;1,"중복 ID",IF(AND(IF(ISNUMBER(B37),AND(B37&gt;=1,MOD(B37,1)=0),FALSE),OR(C37="A",C37="B"),OR(D37=1,D37=2),OR(H37="PASS",H37="FAIL"),OR(I37="PASS",I37="FAIL"),OR(J37="PASS",J37="FAIL"),IF(ISNUMBER(K37),AND(K37&gt;=0,MOD(K37,1)=0),FALSE),IF(ISNUMBER(L37),AND(L37&gt;=0,MOD(L37,1)=0),FALSE),IF(ISNUMBER(M37),AND(M37&gt;=0,MOD(M37,1)=0),FALSE),IF(ISNUMBER(S37),AND(S37&gt;=0,MOD(S37,1)=0),FALSE),IF(ISNUMBER(T37),AND(T37&gt;=0,MOD(T37,1)=0),FALSE),IF(ISNUMBER(P37),AND(P37&gt;=0),FALSE),IF(ISNUMBER(Q37),AND(Q37&gt;=0),FALSE),IF(ISNUMBER(W37),AND(W37&gt;=0),FALSE),IF(ISNUMBER(R37),AND(R37&gt;=0,R37&lt;360),FALSE),Y37="FIELD_MEASUREMENT"),"유효 기록","입력 확인"))))</x:f>
      </x:c>
    </x:row>
    <x:row r="38" ht="22" customHeight="1">
      <x:c r="A38" s="13"/>
      <x:c r="B38" s="15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6"/>
      <x:c r="Q38" s="16"/>
      <x:c r="R38" s="16"/>
      <x:c r="S38" s="13"/>
      <x:c r="T38" s="13"/>
      <x:c r="U38" s="13"/>
      <x:c r="V38" s="13"/>
      <x:c r="W38" s="16"/>
      <x:c r="X38" s="13"/>
      <x:c r="Y38" s="13"/>
      <x:c r="Z38" s="13"/>
      <x:c r="AA38" s="14" t="str">
        <x:f>IF(COUNTA(A38:Z38)=0,"",IF(OR(ISBLANK(A38),ISBLANK(B38),ISBLANK(C38),ISBLANK(D38),ISBLANK(E38),ISBLANK(F38),ISBLANK(G38),ISBLANK(H38),ISBLANK(I38),ISBLANK(J38),ISBLANK(K38),ISBLANK(L38),ISBLANK(M38),ISBLANK(N38),ISBLANK(O38),ISBLANK(P38),ISBLANK(Q38),ISBLANK(R38),ISBLANK(S38),ISBLANK(T38),ISBLANK(U38),ISBLANK(V38),ISBLANK(W38),ISBLANK(X38),ISBLANK(Y38)),"필수값 입력",IF(COUNTIFS($A$5:$A$104,A38)&gt;1,"중복 ID",IF(AND(IF(ISNUMBER(B38),AND(B38&gt;=1,MOD(B38,1)=0),FALSE),OR(C38="A",C38="B"),OR(D38=1,D38=2),OR(H38="PASS",H38="FAIL"),OR(I38="PASS",I38="FAIL"),OR(J38="PASS",J38="FAIL"),IF(ISNUMBER(K38),AND(K38&gt;=0,MOD(K38,1)=0),FALSE),IF(ISNUMBER(L38),AND(L38&gt;=0,MOD(L38,1)=0),FALSE),IF(ISNUMBER(M38),AND(M38&gt;=0,MOD(M38,1)=0),FALSE),IF(ISNUMBER(S38),AND(S38&gt;=0,MOD(S38,1)=0),FALSE),IF(ISNUMBER(T38),AND(T38&gt;=0,MOD(T38,1)=0),FALSE),IF(ISNUMBER(P38),AND(P38&gt;=0),FALSE),IF(ISNUMBER(Q38),AND(Q38&gt;=0),FALSE),IF(ISNUMBER(W38),AND(W38&gt;=0),FALSE),IF(ISNUMBER(R38),AND(R38&gt;=0,R38&lt;360),FALSE),Y38="FIELD_MEASUREMENT"),"유효 기록","입력 확인"))))</x:f>
      </x:c>
    </x:row>
    <x:row r="39" ht="22" customHeight="1">
      <x:c r="A39" s="13"/>
      <x:c r="B39" s="15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6"/>
      <x:c r="Q39" s="16"/>
      <x:c r="R39" s="16"/>
      <x:c r="S39" s="13"/>
      <x:c r="T39" s="13"/>
      <x:c r="U39" s="13"/>
      <x:c r="V39" s="13"/>
      <x:c r="W39" s="16"/>
      <x:c r="X39" s="13"/>
      <x:c r="Y39" s="13"/>
      <x:c r="Z39" s="13"/>
      <x:c r="AA39" s="14" t="str">
        <x:f>IF(COUNTA(A39:Z39)=0,"",IF(OR(ISBLANK(A39),ISBLANK(B39),ISBLANK(C39),ISBLANK(D39),ISBLANK(E39),ISBLANK(F39),ISBLANK(G39),ISBLANK(H39),ISBLANK(I39),ISBLANK(J39),ISBLANK(K39),ISBLANK(L39),ISBLANK(M39),ISBLANK(N39),ISBLANK(O39),ISBLANK(P39),ISBLANK(Q39),ISBLANK(R39),ISBLANK(S39),ISBLANK(T39),ISBLANK(U39),ISBLANK(V39),ISBLANK(W39),ISBLANK(X39),ISBLANK(Y39)),"필수값 입력",IF(COUNTIFS($A$5:$A$104,A39)&gt;1,"중복 ID",IF(AND(IF(ISNUMBER(B39),AND(B39&gt;=1,MOD(B39,1)=0),FALSE),OR(C39="A",C39="B"),OR(D39=1,D39=2),OR(H39="PASS",H39="FAIL"),OR(I39="PASS",I39="FAIL"),OR(J39="PASS",J39="FAIL"),IF(ISNUMBER(K39),AND(K39&gt;=0,MOD(K39,1)=0),FALSE),IF(ISNUMBER(L39),AND(L39&gt;=0,MOD(L39,1)=0),FALSE),IF(ISNUMBER(M39),AND(M39&gt;=0,MOD(M39,1)=0),FALSE),IF(ISNUMBER(S39),AND(S39&gt;=0,MOD(S39,1)=0),FALSE),IF(ISNUMBER(T39),AND(T39&gt;=0,MOD(T39,1)=0),FALSE),IF(ISNUMBER(P39),AND(P39&gt;=0),FALSE),IF(ISNUMBER(Q39),AND(Q39&gt;=0),FALSE),IF(ISNUMBER(W39),AND(W39&gt;=0),FALSE),IF(ISNUMBER(R39),AND(R39&gt;=0,R39&lt;360),FALSE),Y39="FIELD_MEASUREMENT"),"유효 기록","입력 확인"))))</x:f>
      </x:c>
    </x:row>
    <x:row r="40" ht="22" customHeight="1">
      <x:c r="A40" s="13"/>
      <x:c r="B40" s="15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6"/>
      <x:c r="Q40" s="16"/>
      <x:c r="R40" s="16"/>
      <x:c r="S40" s="13"/>
      <x:c r="T40" s="13"/>
      <x:c r="U40" s="13"/>
      <x:c r="V40" s="13"/>
      <x:c r="W40" s="16"/>
      <x:c r="X40" s="13"/>
      <x:c r="Y40" s="13"/>
      <x:c r="Z40" s="13"/>
      <x:c r="AA40" s="14" t="str">
        <x:f>IF(COUNTA(A40:Z40)=0,"",IF(OR(ISBLANK(A40),ISBLANK(B40),ISBLANK(C40),ISBLANK(D40),ISBLANK(E40),ISBLANK(F40),ISBLANK(G40),ISBLANK(H40),ISBLANK(I40),ISBLANK(J40),ISBLANK(K40),ISBLANK(L40),ISBLANK(M40),ISBLANK(N40),ISBLANK(O40),ISBLANK(P40),ISBLANK(Q40),ISBLANK(R40),ISBLANK(S40),ISBLANK(T40),ISBLANK(U40),ISBLANK(V40),ISBLANK(W40),ISBLANK(X40),ISBLANK(Y40)),"필수값 입력",IF(COUNTIFS($A$5:$A$104,A40)&gt;1,"중복 ID",IF(AND(IF(ISNUMBER(B40),AND(B40&gt;=1,MOD(B40,1)=0),FALSE),OR(C40="A",C40="B"),OR(D40=1,D40=2),OR(H40="PASS",H40="FAIL"),OR(I40="PASS",I40="FAIL"),OR(J40="PASS",J40="FAIL"),IF(ISNUMBER(K40),AND(K40&gt;=0,MOD(K40,1)=0),FALSE),IF(ISNUMBER(L40),AND(L40&gt;=0,MOD(L40,1)=0),FALSE),IF(ISNUMBER(M40),AND(M40&gt;=0,MOD(M40,1)=0),FALSE),IF(ISNUMBER(S40),AND(S40&gt;=0,MOD(S40,1)=0),FALSE),IF(ISNUMBER(T40),AND(T40&gt;=0,MOD(T40,1)=0),FALSE),IF(ISNUMBER(P40),AND(P40&gt;=0),FALSE),IF(ISNUMBER(Q40),AND(Q40&gt;=0),FALSE),IF(ISNUMBER(W40),AND(W40&gt;=0),FALSE),IF(ISNUMBER(R40),AND(R40&gt;=0,R40&lt;360),FALSE),Y40="FIELD_MEASUREMENT"),"유효 기록","입력 확인"))))</x:f>
      </x:c>
    </x:row>
    <x:row r="41" ht="22" customHeight="1">
      <x:c r="A41" s="13"/>
      <x:c r="B41" s="15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6"/>
      <x:c r="Q41" s="16"/>
      <x:c r="R41" s="16"/>
      <x:c r="S41" s="13"/>
      <x:c r="T41" s="13"/>
      <x:c r="U41" s="13"/>
      <x:c r="V41" s="13"/>
      <x:c r="W41" s="16"/>
      <x:c r="X41" s="13"/>
      <x:c r="Y41" s="13"/>
      <x:c r="Z41" s="13"/>
      <x:c r="AA41" s="14" t="str">
        <x:f>IF(COUNTA(A41:Z41)=0,"",IF(OR(ISBLANK(A41),ISBLANK(B41),ISBLANK(C41),ISBLANK(D41),ISBLANK(E41),ISBLANK(F41),ISBLANK(G41),ISBLANK(H41),ISBLANK(I41),ISBLANK(J41),ISBLANK(K41),ISBLANK(L41),ISBLANK(M41),ISBLANK(N41),ISBLANK(O41),ISBLANK(P41),ISBLANK(Q41),ISBLANK(R41),ISBLANK(S41),ISBLANK(T41),ISBLANK(U41),ISBLANK(V41),ISBLANK(W41),ISBLANK(X41),ISBLANK(Y41)),"필수값 입력",IF(COUNTIFS($A$5:$A$104,A41)&gt;1,"중복 ID",IF(AND(IF(ISNUMBER(B41),AND(B41&gt;=1,MOD(B41,1)=0),FALSE),OR(C41="A",C41="B"),OR(D41=1,D41=2),OR(H41="PASS",H41="FAIL"),OR(I41="PASS",I41="FAIL"),OR(J41="PASS",J41="FAIL"),IF(ISNUMBER(K41),AND(K41&gt;=0,MOD(K41,1)=0),FALSE),IF(ISNUMBER(L41),AND(L41&gt;=0,MOD(L41,1)=0),FALSE),IF(ISNUMBER(M41),AND(M41&gt;=0,MOD(M41,1)=0),FALSE),IF(ISNUMBER(S41),AND(S41&gt;=0,MOD(S41,1)=0),FALSE),IF(ISNUMBER(T41),AND(T41&gt;=0,MOD(T41,1)=0),FALSE),IF(ISNUMBER(P41),AND(P41&gt;=0),FALSE),IF(ISNUMBER(Q41),AND(Q41&gt;=0),FALSE),IF(ISNUMBER(W41),AND(W41&gt;=0),FALSE),IF(ISNUMBER(R41),AND(R41&gt;=0,R41&lt;360),FALSE),Y41="FIELD_MEASUREMENT"),"유효 기록","입력 확인"))))</x:f>
      </x:c>
    </x:row>
    <x:row r="42" ht="22" customHeight="1">
      <x:c r="A42" s="13"/>
      <x:c r="B42" s="15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6"/>
      <x:c r="Q42" s="16"/>
      <x:c r="R42" s="16"/>
      <x:c r="S42" s="13"/>
      <x:c r="T42" s="13"/>
      <x:c r="U42" s="13"/>
      <x:c r="V42" s="13"/>
      <x:c r="W42" s="16"/>
      <x:c r="X42" s="13"/>
      <x:c r="Y42" s="13"/>
      <x:c r="Z42" s="13"/>
      <x:c r="AA42" s="14" t="str">
        <x:f>IF(COUNTA(A42:Z42)=0,"",IF(OR(ISBLANK(A42),ISBLANK(B42),ISBLANK(C42),ISBLANK(D42),ISBLANK(E42),ISBLANK(F42),ISBLANK(G42),ISBLANK(H42),ISBLANK(I42),ISBLANK(J42),ISBLANK(K42),ISBLANK(L42),ISBLANK(M42),ISBLANK(N42),ISBLANK(O42),ISBLANK(P42),ISBLANK(Q42),ISBLANK(R42),ISBLANK(S42),ISBLANK(T42),ISBLANK(U42),ISBLANK(V42),ISBLANK(W42),ISBLANK(X42),ISBLANK(Y42)),"필수값 입력",IF(COUNTIFS($A$5:$A$104,A42)&gt;1,"중복 ID",IF(AND(IF(ISNUMBER(B42),AND(B42&gt;=1,MOD(B42,1)=0),FALSE),OR(C42="A",C42="B"),OR(D42=1,D42=2),OR(H42="PASS",H42="FAIL"),OR(I42="PASS",I42="FAIL"),OR(J42="PASS",J42="FAIL"),IF(ISNUMBER(K42),AND(K42&gt;=0,MOD(K42,1)=0),FALSE),IF(ISNUMBER(L42),AND(L42&gt;=0,MOD(L42,1)=0),FALSE),IF(ISNUMBER(M42),AND(M42&gt;=0,MOD(M42,1)=0),FALSE),IF(ISNUMBER(S42),AND(S42&gt;=0,MOD(S42,1)=0),FALSE),IF(ISNUMBER(T42),AND(T42&gt;=0,MOD(T42,1)=0),FALSE),IF(ISNUMBER(P42),AND(P42&gt;=0),FALSE),IF(ISNUMBER(Q42),AND(Q42&gt;=0),FALSE),IF(ISNUMBER(W42),AND(W42&gt;=0),FALSE),IF(ISNUMBER(R42),AND(R42&gt;=0,R42&lt;360),FALSE),Y42="FIELD_MEASUREMENT"),"유효 기록","입력 확인"))))</x:f>
      </x:c>
    </x:row>
    <x:row r="43" ht="22" customHeight="1">
      <x:c r="A43" s="13"/>
      <x:c r="B43" s="15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6"/>
      <x:c r="Q43" s="16"/>
      <x:c r="R43" s="16"/>
      <x:c r="S43" s="13"/>
      <x:c r="T43" s="13"/>
      <x:c r="U43" s="13"/>
      <x:c r="V43" s="13"/>
      <x:c r="W43" s="16"/>
      <x:c r="X43" s="13"/>
      <x:c r="Y43" s="13"/>
      <x:c r="Z43" s="13"/>
      <x:c r="AA43" s="14" t="str">
        <x:f>IF(COUNTA(A43:Z43)=0,"",IF(OR(ISBLANK(A43),ISBLANK(B43),ISBLANK(C43),ISBLANK(D43),ISBLANK(E43),ISBLANK(F43),ISBLANK(G43),ISBLANK(H43),ISBLANK(I43),ISBLANK(J43),ISBLANK(K43),ISBLANK(L43),ISBLANK(M43),ISBLANK(N43),ISBLANK(O43),ISBLANK(P43),ISBLANK(Q43),ISBLANK(R43),ISBLANK(S43),ISBLANK(T43),ISBLANK(U43),ISBLANK(V43),ISBLANK(W43),ISBLANK(X43),ISBLANK(Y43)),"필수값 입력",IF(COUNTIFS($A$5:$A$104,A43)&gt;1,"중복 ID",IF(AND(IF(ISNUMBER(B43),AND(B43&gt;=1,MOD(B43,1)=0),FALSE),OR(C43="A",C43="B"),OR(D43=1,D43=2),OR(H43="PASS",H43="FAIL"),OR(I43="PASS",I43="FAIL"),OR(J43="PASS",J43="FAIL"),IF(ISNUMBER(K43),AND(K43&gt;=0,MOD(K43,1)=0),FALSE),IF(ISNUMBER(L43),AND(L43&gt;=0,MOD(L43,1)=0),FALSE),IF(ISNUMBER(M43),AND(M43&gt;=0,MOD(M43,1)=0),FALSE),IF(ISNUMBER(S43),AND(S43&gt;=0,MOD(S43,1)=0),FALSE),IF(ISNUMBER(T43),AND(T43&gt;=0,MOD(T43,1)=0),FALSE),IF(ISNUMBER(P43),AND(P43&gt;=0),FALSE),IF(ISNUMBER(Q43),AND(Q43&gt;=0),FALSE),IF(ISNUMBER(W43),AND(W43&gt;=0),FALSE),IF(ISNUMBER(R43),AND(R43&gt;=0,R43&lt;360),FALSE),Y43="FIELD_MEASUREMENT"),"유효 기록","입력 확인"))))</x:f>
      </x:c>
    </x:row>
    <x:row r="44" ht="22" customHeight="1">
      <x:c r="A44" s="13"/>
      <x:c r="B44" s="15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6"/>
      <x:c r="Q44" s="16"/>
      <x:c r="R44" s="16"/>
      <x:c r="S44" s="13"/>
      <x:c r="T44" s="13"/>
      <x:c r="U44" s="13"/>
      <x:c r="V44" s="13"/>
      <x:c r="W44" s="16"/>
      <x:c r="X44" s="13"/>
      <x:c r="Y44" s="13"/>
      <x:c r="Z44" s="13"/>
      <x:c r="AA44" s="14" t="str">
        <x:f>IF(COUNTA(A44:Z44)=0,"",IF(OR(ISBLANK(A44),ISBLANK(B44),ISBLANK(C44),ISBLANK(D44),ISBLANK(E44),ISBLANK(F44),ISBLANK(G44),ISBLANK(H44),ISBLANK(I44),ISBLANK(J44),ISBLANK(K44),ISBLANK(L44),ISBLANK(M44),ISBLANK(N44),ISBLANK(O44),ISBLANK(P44),ISBLANK(Q44),ISBLANK(R44),ISBLANK(S44),ISBLANK(T44),ISBLANK(U44),ISBLANK(V44),ISBLANK(W44),ISBLANK(X44),ISBLANK(Y44)),"필수값 입력",IF(COUNTIFS($A$5:$A$104,A44)&gt;1,"중복 ID",IF(AND(IF(ISNUMBER(B44),AND(B44&gt;=1,MOD(B44,1)=0),FALSE),OR(C44="A",C44="B"),OR(D44=1,D44=2),OR(H44="PASS",H44="FAIL"),OR(I44="PASS",I44="FAIL"),OR(J44="PASS",J44="FAIL"),IF(ISNUMBER(K44),AND(K44&gt;=0,MOD(K44,1)=0),FALSE),IF(ISNUMBER(L44),AND(L44&gt;=0,MOD(L44,1)=0),FALSE),IF(ISNUMBER(M44),AND(M44&gt;=0,MOD(M44,1)=0),FALSE),IF(ISNUMBER(S44),AND(S44&gt;=0,MOD(S44,1)=0),FALSE),IF(ISNUMBER(T44),AND(T44&gt;=0,MOD(T44,1)=0),FALSE),IF(ISNUMBER(P44),AND(P44&gt;=0),FALSE),IF(ISNUMBER(Q44),AND(Q44&gt;=0),FALSE),IF(ISNUMBER(W44),AND(W44&gt;=0),FALSE),IF(ISNUMBER(R44),AND(R44&gt;=0,R44&lt;360),FALSE),Y44="FIELD_MEASUREMENT"),"유효 기록","입력 확인"))))</x:f>
      </x:c>
    </x:row>
    <x:row r="45" ht="22" customHeight="1">
      <x:c r="A45" s="13"/>
      <x:c r="B45" s="15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6"/>
      <x:c r="Q45" s="16"/>
      <x:c r="R45" s="16"/>
      <x:c r="S45" s="13"/>
      <x:c r="T45" s="13"/>
      <x:c r="U45" s="13"/>
      <x:c r="V45" s="13"/>
      <x:c r="W45" s="16"/>
      <x:c r="X45" s="13"/>
      <x:c r="Y45" s="13"/>
      <x:c r="Z45" s="13"/>
      <x:c r="AA45" s="14" t="str">
        <x:f>IF(COUNTA(A45:Z45)=0,"",IF(OR(ISBLANK(A45),ISBLANK(B45),ISBLANK(C45),ISBLANK(D45),ISBLANK(E45),ISBLANK(F45),ISBLANK(G45),ISBLANK(H45),ISBLANK(I45),ISBLANK(J45),ISBLANK(K45),ISBLANK(L45),ISBLANK(M45),ISBLANK(N45),ISBLANK(O45),ISBLANK(P45),ISBLANK(Q45),ISBLANK(R45),ISBLANK(S45),ISBLANK(T45),ISBLANK(U45),ISBLANK(V45),ISBLANK(W45),ISBLANK(X45),ISBLANK(Y45)),"필수값 입력",IF(COUNTIFS($A$5:$A$104,A45)&gt;1,"중복 ID",IF(AND(IF(ISNUMBER(B45),AND(B45&gt;=1,MOD(B45,1)=0),FALSE),OR(C45="A",C45="B"),OR(D45=1,D45=2),OR(H45="PASS",H45="FAIL"),OR(I45="PASS",I45="FAIL"),OR(J45="PASS",J45="FAIL"),IF(ISNUMBER(K45),AND(K45&gt;=0,MOD(K45,1)=0),FALSE),IF(ISNUMBER(L45),AND(L45&gt;=0,MOD(L45,1)=0),FALSE),IF(ISNUMBER(M45),AND(M45&gt;=0,MOD(M45,1)=0),FALSE),IF(ISNUMBER(S45),AND(S45&gt;=0,MOD(S45,1)=0),FALSE),IF(ISNUMBER(T45),AND(T45&gt;=0,MOD(T45,1)=0),FALSE),IF(ISNUMBER(P45),AND(P45&gt;=0),FALSE),IF(ISNUMBER(Q45),AND(Q45&gt;=0),FALSE),IF(ISNUMBER(W45),AND(W45&gt;=0),FALSE),IF(ISNUMBER(R45),AND(R45&gt;=0,R45&lt;360),FALSE),Y45="FIELD_MEASUREMENT"),"유효 기록","입력 확인"))))</x:f>
      </x:c>
    </x:row>
    <x:row r="46" ht="22" customHeight="1">
      <x:c r="A46" s="13"/>
      <x:c r="B46" s="15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6"/>
      <x:c r="Q46" s="16"/>
      <x:c r="R46" s="16"/>
      <x:c r="S46" s="13"/>
      <x:c r="T46" s="13"/>
      <x:c r="U46" s="13"/>
      <x:c r="V46" s="13"/>
      <x:c r="W46" s="16"/>
      <x:c r="X46" s="13"/>
      <x:c r="Y46" s="13"/>
      <x:c r="Z46" s="13"/>
      <x:c r="AA46" s="14" t="str">
        <x:f>IF(COUNTA(A46:Z46)=0,"",IF(OR(ISBLANK(A46),ISBLANK(B46),ISBLANK(C46),ISBLANK(D46),ISBLANK(E46),ISBLANK(F46),ISBLANK(G46),ISBLANK(H46),ISBLANK(I46),ISBLANK(J46),ISBLANK(K46),ISBLANK(L46),ISBLANK(M46),ISBLANK(N46),ISBLANK(O46),ISBLANK(P46),ISBLANK(Q46),ISBLANK(R46),ISBLANK(S46),ISBLANK(T46),ISBLANK(U46),ISBLANK(V46),ISBLANK(W46),ISBLANK(X46),ISBLANK(Y46)),"필수값 입력",IF(COUNTIFS($A$5:$A$104,A46)&gt;1,"중복 ID",IF(AND(IF(ISNUMBER(B46),AND(B46&gt;=1,MOD(B46,1)=0),FALSE),OR(C46="A",C46="B"),OR(D46=1,D46=2),OR(H46="PASS",H46="FAIL"),OR(I46="PASS",I46="FAIL"),OR(J46="PASS",J46="FAIL"),IF(ISNUMBER(K46),AND(K46&gt;=0,MOD(K46,1)=0),FALSE),IF(ISNUMBER(L46),AND(L46&gt;=0,MOD(L46,1)=0),FALSE),IF(ISNUMBER(M46),AND(M46&gt;=0,MOD(M46,1)=0),FALSE),IF(ISNUMBER(S46),AND(S46&gt;=0,MOD(S46,1)=0),FALSE),IF(ISNUMBER(T46),AND(T46&gt;=0,MOD(T46,1)=0),FALSE),IF(ISNUMBER(P46),AND(P46&gt;=0),FALSE),IF(ISNUMBER(Q46),AND(Q46&gt;=0),FALSE),IF(ISNUMBER(W46),AND(W46&gt;=0),FALSE),IF(ISNUMBER(R46),AND(R46&gt;=0,R46&lt;360),FALSE),Y46="FIELD_MEASUREMENT"),"유효 기록","입력 확인"))))</x:f>
      </x:c>
    </x:row>
    <x:row r="47" ht="22" customHeight="1">
      <x:c r="A47" s="13"/>
      <x:c r="B47" s="15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6"/>
      <x:c r="Q47" s="16"/>
      <x:c r="R47" s="16"/>
      <x:c r="S47" s="13"/>
      <x:c r="T47" s="13"/>
      <x:c r="U47" s="13"/>
      <x:c r="V47" s="13"/>
      <x:c r="W47" s="16"/>
      <x:c r="X47" s="13"/>
      <x:c r="Y47" s="13"/>
      <x:c r="Z47" s="13"/>
      <x:c r="AA47" s="14" t="str">
        <x:f>IF(COUNTA(A47:Z47)=0,"",IF(OR(ISBLANK(A47),ISBLANK(B47),ISBLANK(C47),ISBLANK(D47),ISBLANK(E47),ISBLANK(F47),ISBLANK(G47),ISBLANK(H47),ISBLANK(I47),ISBLANK(J47),ISBLANK(K47),ISBLANK(L47),ISBLANK(M47),ISBLANK(N47),ISBLANK(O47),ISBLANK(P47),ISBLANK(Q47),ISBLANK(R47),ISBLANK(S47),ISBLANK(T47),ISBLANK(U47),ISBLANK(V47),ISBLANK(W47),ISBLANK(X47),ISBLANK(Y47)),"필수값 입력",IF(COUNTIFS($A$5:$A$104,A47)&gt;1,"중복 ID",IF(AND(IF(ISNUMBER(B47),AND(B47&gt;=1,MOD(B47,1)=0),FALSE),OR(C47="A",C47="B"),OR(D47=1,D47=2),OR(H47="PASS",H47="FAIL"),OR(I47="PASS",I47="FAIL"),OR(J47="PASS",J47="FAIL"),IF(ISNUMBER(K47),AND(K47&gt;=0,MOD(K47,1)=0),FALSE),IF(ISNUMBER(L47),AND(L47&gt;=0,MOD(L47,1)=0),FALSE),IF(ISNUMBER(M47),AND(M47&gt;=0,MOD(M47,1)=0),FALSE),IF(ISNUMBER(S47),AND(S47&gt;=0,MOD(S47,1)=0),FALSE),IF(ISNUMBER(T47),AND(T47&gt;=0,MOD(T47,1)=0),FALSE),IF(ISNUMBER(P47),AND(P47&gt;=0),FALSE),IF(ISNUMBER(Q47),AND(Q47&gt;=0),FALSE),IF(ISNUMBER(W47),AND(W47&gt;=0),FALSE),IF(ISNUMBER(R47),AND(R47&gt;=0,R47&lt;360),FALSE),Y47="FIELD_MEASUREMENT"),"유효 기록","입력 확인"))))</x:f>
      </x:c>
    </x:row>
    <x:row r="48" ht="22" customHeight="1">
      <x:c r="A48" s="13"/>
      <x:c r="B48" s="15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6"/>
      <x:c r="Q48" s="16"/>
      <x:c r="R48" s="16"/>
      <x:c r="S48" s="13"/>
      <x:c r="T48" s="13"/>
      <x:c r="U48" s="13"/>
      <x:c r="V48" s="13"/>
      <x:c r="W48" s="16"/>
      <x:c r="X48" s="13"/>
      <x:c r="Y48" s="13"/>
      <x:c r="Z48" s="13"/>
      <x:c r="AA48" s="14" t="str">
        <x:f>IF(COUNTA(A48:Z48)=0,"",IF(OR(ISBLANK(A48),ISBLANK(B48),ISBLANK(C48),ISBLANK(D48),ISBLANK(E48),ISBLANK(F48),ISBLANK(G48),ISBLANK(H48),ISBLANK(I48),ISBLANK(J48),ISBLANK(K48),ISBLANK(L48),ISBLANK(M48),ISBLANK(N48),ISBLANK(O48),ISBLANK(P48),ISBLANK(Q48),ISBLANK(R48),ISBLANK(S48),ISBLANK(T48),ISBLANK(U48),ISBLANK(V48),ISBLANK(W48),ISBLANK(X48),ISBLANK(Y48)),"필수값 입력",IF(COUNTIFS($A$5:$A$104,A48)&gt;1,"중복 ID",IF(AND(IF(ISNUMBER(B48),AND(B48&gt;=1,MOD(B48,1)=0),FALSE),OR(C48="A",C48="B"),OR(D48=1,D48=2),OR(H48="PASS",H48="FAIL"),OR(I48="PASS",I48="FAIL"),OR(J48="PASS",J48="FAIL"),IF(ISNUMBER(K48),AND(K48&gt;=0,MOD(K48,1)=0),FALSE),IF(ISNUMBER(L48),AND(L48&gt;=0,MOD(L48,1)=0),FALSE),IF(ISNUMBER(M48),AND(M48&gt;=0,MOD(M48,1)=0),FALSE),IF(ISNUMBER(S48),AND(S48&gt;=0,MOD(S48,1)=0),FALSE),IF(ISNUMBER(T48),AND(T48&gt;=0,MOD(T48,1)=0),FALSE),IF(ISNUMBER(P48),AND(P48&gt;=0),FALSE),IF(ISNUMBER(Q48),AND(Q48&gt;=0),FALSE),IF(ISNUMBER(W48),AND(W48&gt;=0),FALSE),IF(ISNUMBER(R48),AND(R48&gt;=0,R48&lt;360),FALSE),Y48="FIELD_MEASUREMENT"),"유효 기록","입력 확인"))))</x:f>
      </x:c>
    </x:row>
    <x:row r="49" ht="22" customHeight="1">
      <x:c r="A49" s="13"/>
      <x:c r="B49" s="15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6"/>
      <x:c r="Q49" s="16"/>
      <x:c r="R49" s="16"/>
      <x:c r="S49" s="13"/>
      <x:c r="T49" s="13"/>
      <x:c r="U49" s="13"/>
      <x:c r="V49" s="13"/>
      <x:c r="W49" s="16"/>
      <x:c r="X49" s="13"/>
      <x:c r="Y49" s="13"/>
      <x:c r="Z49" s="13"/>
      <x:c r="AA49" s="14" t="str">
        <x:f>IF(COUNTA(A49:Z49)=0,"",IF(OR(ISBLANK(A49),ISBLANK(B49),ISBLANK(C49),ISBLANK(D49),ISBLANK(E49),ISBLANK(F49),ISBLANK(G49),ISBLANK(H49),ISBLANK(I49),ISBLANK(J49),ISBLANK(K49),ISBLANK(L49),ISBLANK(M49),ISBLANK(N49),ISBLANK(O49),ISBLANK(P49),ISBLANK(Q49),ISBLANK(R49),ISBLANK(S49),ISBLANK(T49),ISBLANK(U49),ISBLANK(V49),ISBLANK(W49),ISBLANK(X49),ISBLANK(Y49)),"필수값 입력",IF(COUNTIFS($A$5:$A$104,A49)&gt;1,"중복 ID",IF(AND(IF(ISNUMBER(B49),AND(B49&gt;=1,MOD(B49,1)=0),FALSE),OR(C49="A",C49="B"),OR(D49=1,D49=2),OR(H49="PASS",H49="FAIL"),OR(I49="PASS",I49="FAIL"),OR(J49="PASS",J49="FAIL"),IF(ISNUMBER(K49),AND(K49&gt;=0,MOD(K49,1)=0),FALSE),IF(ISNUMBER(L49),AND(L49&gt;=0,MOD(L49,1)=0),FALSE),IF(ISNUMBER(M49),AND(M49&gt;=0,MOD(M49,1)=0),FALSE),IF(ISNUMBER(S49),AND(S49&gt;=0,MOD(S49,1)=0),FALSE),IF(ISNUMBER(T49),AND(T49&gt;=0,MOD(T49,1)=0),FALSE),IF(ISNUMBER(P49),AND(P49&gt;=0),FALSE),IF(ISNUMBER(Q49),AND(Q49&gt;=0),FALSE),IF(ISNUMBER(W49),AND(W49&gt;=0),FALSE),IF(ISNUMBER(R49),AND(R49&gt;=0,R49&lt;360),FALSE),Y49="FIELD_MEASUREMENT"),"유효 기록","입력 확인"))))</x:f>
      </x:c>
    </x:row>
    <x:row r="50" ht="22" customHeight="1">
      <x:c r="A50" s="13"/>
      <x:c r="B50" s="15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6"/>
      <x:c r="Q50" s="16"/>
      <x:c r="R50" s="16"/>
      <x:c r="S50" s="13"/>
      <x:c r="T50" s="13"/>
      <x:c r="U50" s="13"/>
      <x:c r="V50" s="13"/>
      <x:c r="W50" s="16"/>
      <x:c r="X50" s="13"/>
      <x:c r="Y50" s="13"/>
      <x:c r="Z50" s="13"/>
      <x:c r="AA50" s="14" t="str">
        <x:f>IF(COUNTA(A50:Z50)=0,"",IF(OR(ISBLANK(A50),ISBLANK(B50),ISBLANK(C50),ISBLANK(D50),ISBLANK(E50),ISBLANK(F50),ISBLANK(G50),ISBLANK(H50),ISBLANK(I50),ISBLANK(J50),ISBLANK(K50),ISBLANK(L50),ISBLANK(M50),ISBLANK(N50),ISBLANK(O50),ISBLANK(P50),ISBLANK(Q50),ISBLANK(R50),ISBLANK(S50),ISBLANK(T50),ISBLANK(U50),ISBLANK(V50),ISBLANK(W50),ISBLANK(X50),ISBLANK(Y50)),"필수값 입력",IF(COUNTIFS($A$5:$A$104,A50)&gt;1,"중복 ID",IF(AND(IF(ISNUMBER(B50),AND(B50&gt;=1,MOD(B50,1)=0),FALSE),OR(C50="A",C50="B"),OR(D50=1,D50=2),OR(H50="PASS",H50="FAIL"),OR(I50="PASS",I50="FAIL"),OR(J50="PASS",J50="FAIL"),IF(ISNUMBER(K50),AND(K50&gt;=0,MOD(K50,1)=0),FALSE),IF(ISNUMBER(L50),AND(L50&gt;=0,MOD(L50,1)=0),FALSE),IF(ISNUMBER(M50),AND(M50&gt;=0,MOD(M50,1)=0),FALSE),IF(ISNUMBER(S50),AND(S50&gt;=0,MOD(S50,1)=0),FALSE),IF(ISNUMBER(T50),AND(T50&gt;=0,MOD(T50,1)=0),FALSE),IF(ISNUMBER(P50),AND(P50&gt;=0),FALSE),IF(ISNUMBER(Q50),AND(Q50&gt;=0),FALSE),IF(ISNUMBER(W50),AND(W50&gt;=0),FALSE),IF(ISNUMBER(R50),AND(R50&gt;=0,R50&lt;360),FALSE),Y50="FIELD_MEASUREMENT"),"유효 기록","입력 확인"))))</x:f>
      </x:c>
    </x:row>
    <x:row r="51" ht="22" customHeight="1">
      <x:c r="A51" s="13"/>
      <x:c r="B51" s="15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6"/>
      <x:c r="Q51" s="16"/>
      <x:c r="R51" s="16"/>
      <x:c r="S51" s="13"/>
      <x:c r="T51" s="13"/>
      <x:c r="U51" s="13"/>
      <x:c r="V51" s="13"/>
      <x:c r="W51" s="16"/>
      <x:c r="X51" s="13"/>
      <x:c r="Y51" s="13"/>
      <x:c r="Z51" s="13"/>
      <x:c r="AA51" s="14" t="str">
        <x:f>IF(COUNTA(A51:Z51)=0,"",IF(OR(ISBLANK(A51),ISBLANK(B51),ISBLANK(C51),ISBLANK(D51),ISBLANK(E51),ISBLANK(F51),ISBLANK(G51),ISBLANK(H51),ISBLANK(I51),ISBLANK(J51),ISBLANK(K51),ISBLANK(L51),ISBLANK(M51),ISBLANK(N51),ISBLANK(O51),ISBLANK(P51),ISBLANK(Q51),ISBLANK(R51),ISBLANK(S51),ISBLANK(T51),ISBLANK(U51),ISBLANK(V51),ISBLANK(W51),ISBLANK(X51),ISBLANK(Y51)),"필수값 입력",IF(COUNTIFS($A$5:$A$104,A51)&gt;1,"중복 ID",IF(AND(IF(ISNUMBER(B51),AND(B51&gt;=1,MOD(B51,1)=0),FALSE),OR(C51="A",C51="B"),OR(D51=1,D51=2),OR(H51="PASS",H51="FAIL"),OR(I51="PASS",I51="FAIL"),OR(J51="PASS",J51="FAIL"),IF(ISNUMBER(K51),AND(K51&gt;=0,MOD(K51,1)=0),FALSE),IF(ISNUMBER(L51),AND(L51&gt;=0,MOD(L51,1)=0),FALSE),IF(ISNUMBER(M51),AND(M51&gt;=0,MOD(M51,1)=0),FALSE),IF(ISNUMBER(S51),AND(S51&gt;=0,MOD(S51,1)=0),FALSE),IF(ISNUMBER(T51),AND(T51&gt;=0,MOD(T51,1)=0),FALSE),IF(ISNUMBER(P51),AND(P51&gt;=0),FALSE),IF(ISNUMBER(Q51),AND(Q51&gt;=0),FALSE),IF(ISNUMBER(W51),AND(W51&gt;=0),FALSE),IF(ISNUMBER(R51),AND(R51&gt;=0,R51&lt;360),FALSE),Y51="FIELD_MEASUREMENT"),"유효 기록","입력 확인"))))</x:f>
      </x:c>
    </x:row>
    <x:row r="52" ht="22" customHeight="1">
      <x:c r="A52" s="13"/>
      <x:c r="B52" s="15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6"/>
      <x:c r="Q52" s="16"/>
      <x:c r="R52" s="16"/>
      <x:c r="S52" s="13"/>
      <x:c r="T52" s="13"/>
      <x:c r="U52" s="13"/>
      <x:c r="V52" s="13"/>
      <x:c r="W52" s="16"/>
      <x:c r="X52" s="13"/>
      <x:c r="Y52" s="13"/>
      <x:c r="Z52" s="13"/>
      <x:c r="AA52" s="14" t="str">
        <x:f>IF(COUNTA(A52:Z52)=0,"",IF(OR(ISBLANK(A52),ISBLANK(B52),ISBLANK(C52),ISBLANK(D52),ISBLANK(E52),ISBLANK(F52),ISBLANK(G52),ISBLANK(H52),ISBLANK(I52),ISBLANK(J52),ISBLANK(K52),ISBLANK(L52),ISBLANK(M52),ISBLANK(N52),ISBLANK(O52),ISBLANK(P52),ISBLANK(Q52),ISBLANK(R52),ISBLANK(S52),ISBLANK(T52),ISBLANK(U52),ISBLANK(V52),ISBLANK(W52),ISBLANK(X52),ISBLANK(Y52)),"필수값 입력",IF(COUNTIFS($A$5:$A$104,A52)&gt;1,"중복 ID",IF(AND(IF(ISNUMBER(B52),AND(B52&gt;=1,MOD(B52,1)=0),FALSE),OR(C52="A",C52="B"),OR(D52=1,D52=2),OR(H52="PASS",H52="FAIL"),OR(I52="PASS",I52="FAIL"),OR(J52="PASS",J52="FAIL"),IF(ISNUMBER(K52),AND(K52&gt;=0,MOD(K52,1)=0),FALSE),IF(ISNUMBER(L52),AND(L52&gt;=0,MOD(L52,1)=0),FALSE),IF(ISNUMBER(M52),AND(M52&gt;=0,MOD(M52,1)=0),FALSE),IF(ISNUMBER(S52),AND(S52&gt;=0,MOD(S52,1)=0),FALSE),IF(ISNUMBER(T52),AND(T52&gt;=0,MOD(T52,1)=0),FALSE),IF(ISNUMBER(P52),AND(P52&gt;=0),FALSE),IF(ISNUMBER(Q52),AND(Q52&gt;=0),FALSE),IF(ISNUMBER(W52),AND(W52&gt;=0),FALSE),IF(ISNUMBER(R52),AND(R52&gt;=0,R52&lt;360),FALSE),Y52="FIELD_MEASUREMENT"),"유효 기록","입력 확인"))))</x:f>
      </x:c>
    </x:row>
    <x:row r="53" ht="22" customHeight="1">
      <x:c r="A53" s="13"/>
      <x:c r="B53" s="15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6"/>
      <x:c r="Q53" s="16"/>
      <x:c r="R53" s="16"/>
      <x:c r="S53" s="13"/>
      <x:c r="T53" s="13"/>
      <x:c r="U53" s="13"/>
      <x:c r="V53" s="13"/>
      <x:c r="W53" s="16"/>
      <x:c r="X53" s="13"/>
      <x:c r="Y53" s="13"/>
      <x:c r="Z53" s="13"/>
      <x:c r="AA53" s="14" t="str">
        <x:f>IF(COUNTA(A53:Z53)=0,"",IF(OR(ISBLANK(A53),ISBLANK(B53),ISBLANK(C53),ISBLANK(D53),ISBLANK(E53),ISBLANK(F53),ISBLANK(G53),ISBLANK(H53),ISBLANK(I53),ISBLANK(J53),ISBLANK(K53),ISBLANK(L53),ISBLANK(M53),ISBLANK(N53),ISBLANK(O53),ISBLANK(P53),ISBLANK(Q53),ISBLANK(R53),ISBLANK(S53),ISBLANK(T53),ISBLANK(U53),ISBLANK(V53),ISBLANK(W53),ISBLANK(X53),ISBLANK(Y53)),"필수값 입력",IF(COUNTIFS($A$5:$A$104,A53)&gt;1,"중복 ID",IF(AND(IF(ISNUMBER(B53),AND(B53&gt;=1,MOD(B53,1)=0),FALSE),OR(C53="A",C53="B"),OR(D53=1,D53=2),OR(H53="PASS",H53="FAIL"),OR(I53="PASS",I53="FAIL"),OR(J53="PASS",J53="FAIL"),IF(ISNUMBER(K53),AND(K53&gt;=0,MOD(K53,1)=0),FALSE),IF(ISNUMBER(L53),AND(L53&gt;=0,MOD(L53,1)=0),FALSE),IF(ISNUMBER(M53),AND(M53&gt;=0,MOD(M53,1)=0),FALSE),IF(ISNUMBER(S53),AND(S53&gt;=0,MOD(S53,1)=0),FALSE),IF(ISNUMBER(T53),AND(T53&gt;=0,MOD(T53,1)=0),FALSE),IF(ISNUMBER(P53),AND(P53&gt;=0),FALSE),IF(ISNUMBER(Q53),AND(Q53&gt;=0),FALSE),IF(ISNUMBER(W53),AND(W53&gt;=0),FALSE),IF(ISNUMBER(R53),AND(R53&gt;=0,R53&lt;360),FALSE),Y53="FIELD_MEASUREMENT"),"유효 기록","입력 확인"))))</x:f>
      </x:c>
    </x:row>
    <x:row r="54" ht="22" customHeight="1">
      <x:c r="A54" s="13"/>
      <x:c r="B54" s="15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6"/>
      <x:c r="Q54" s="16"/>
      <x:c r="R54" s="16"/>
      <x:c r="S54" s="13"/>
      <x:c r="T54" s="13"/>
      <x:c r="U54" s="13"/>
      <x:c r="V54" s="13"/>
      <x:c r="W54" s="16"/>
      <x:c r="X54" s="13"/>
      <x:c r="Y54" s="13"/>
      <x:c r="Z54" s="13"/>
      <x:c r="AA54" s="14" t="str">
        <x:f>IF(COUNTA(A54:Z54)=0,"",IF(OR(ISBLANK(A54),ISBLANK(B54),ISBLANK(C54),ISBLANK(D54),ISBLANK(E54),ISBLANK(F54),ISBLANK(G54),ISBLANK(H54),ISBLANK(I54),ISBLANK(J54),ISBLANK(K54),ISBLANK(L54),ISBLANK(M54),ISBLANK(N54),ISBLANK(O54),ISBLANK(P54),ISBLANK(Q54),ISBLANK(R54),ISBLANK(S54),ISBLANK(T54),ISBLANK(U54),ISBLANK(V54),ISBLANK(W54),ISBLANK(X54),ISBLANK(Y54)),"필수값 입력",IF(COUNTIFS($A$5:$A$104,A54)&gt;1,"중복 ID",IF(AND(IF(ISNUMBER(B54),AND(B54&gt;=1,MOD(B54,1)=0),FALSE),OR(C54="A",C54="B"),OR(D54=1,D54=2),OR(H54="PASS",H54="FAIL"),OR(I54="PASS",I54="FAIL"),OR(J54="PASS",J54="FAIL"),IF(ISNUMBER(K54),AND(K54&gt;=0,MOD(K54,1)=0),FALSE),IF(ISNUMBER(L54),AND(L54&gt;=0,MOD(L54,1)=0),FALSE),IF(ISNUMBER(M54),AND(M54&gt;=0,MOD(M54,1)=0),FALSE),IF(ISNUMBER(S54),AND(S54&gt;=0,MOD(S54,1)=0),FALSE),IF(ISNUMBER(T54),AND(T54&gt;=0,MOD(T54,1)=0),FALSE),IF(ISNUMBER(P54),AND(P54&gt;=0),FALSE),IF(ISNUMBER(Q54),AND(Q54&gt;=0),FALSE),IF(ISNUMBER(W54),AND(W54&gt;=0),FALSE),IF(ISNUMBER(R54),AND(R54&gt;=0,R54&lt;360),FALSE),Y54="FIELD_MEASUREMENT"),"유효 기록","입력 확인"))))</x:f>
      </x:c>
    </x:row>
    <x:row r="55" ht="22" customHeight="1">
      <x:c r="A55" s="13"/>
      <x:c r="B55" s="15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6"/>
      <x:c r="Q55" s="16"/>
      <x:c r="R55" s="16"/>
      <x:c r="S55" s="13"/>
      <x:c r="T55" s="13"/>
      <x:c r="U55" s="13"/>
      <x:c r="V55" s="13"/>
      <x:c r="W55" s="16"/>
      <x:c r="X55" s="13"/>
      <x:c r="Y55" s="13"/>
      <x:c r="Z55" s="13"/>
      <x:c r="AA55" s="14" t="str">
        <x:f>IF(COUNTA(A55:Z55)=0,"",IF(OR(ISBLANK(A55),ISBLANK(B55),ISBLANK(C55),ISBLANK(D55),ISBLANK(E55),ISBLANK(F55),ISBLANK(G55),ISBLANK(H55),ISBLANK(I55),ISBLANK(J55),ISBLANK(K55),ISBLANK(L55),ISBLANK(M55),ISBLANK(N55),ISBLANK(O55),ISBLANK(P55),ISBLANK(Q55),ISBLANK(R55),ISBLANK(S55),ISBLANK(T55),ISBLANK(U55),ISBLANK(V55),ISBLANK(W55),ISBLANK(X55),ISBLANK(Y55)),"필수값 입력",IF(COUNTIFS($A$5:$A$104,A55)&gt;1,"중복 ID",IF(AND(IF(ISNUMBER(B55),AND(B55&gt;=1,MOD(B55,1)=0),FALSE),OR(C55="A",C55="B"),OR(D55=1,D55=2),OR(H55="PASS",H55="FAIL"),OR(I55="PASS",I55="FAIL"),OR(J55="PASS",J55="FAIL"),IF(ISNUMBER(K55),AND(K55&gt;=0,MOD(K55,1)=0),FALSE),IF(ISNUMBER(L55),AND(L55&gt;=0,MOD(L55,1)=0),FALSE),IF(ISNUMBER(M55),AND(M55&gt;=0,MOD(M55,1)=0),FALSE),IF(ISNUMBER(S55),AND(S55&gt;=0,MOD(S55,1)=0),FALSE),IF(ISNUMBER(T55),AND(T55&gt;=0,MOD(T55,1)=0),FALSE),IF(ISNUMBER(P55),AND(P55&gt;=0),FALSE),IF(ISNUMBER(Q55),AND(Q55&gt;=0),FALSE),IF(ISNUMBER(W55),AND(W55&gt;=0),FALSE),IF(ISNUMBER(R55),AND(R55&gt;=0,R55&lt;360),FALSE),Y55="FIELD_MEASUREMENT"),"유효 기록","입력 확인"))))</x:f>
      </x:c>
    </x:row>
    <x:row r="56" ht="22" customHeight="1">
      <x:c r="A56" s="13"/>
      <x:c r="B56" s="15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6"/>
      <x:c r="Q56" s="16"/>
      <x:c r="R56" s="16"/>
      <x:c r="S56" s="13"/>
      <x:c r="T56" s="13"/>
      <x:c r="U56" s="13"/>
      <x:c r="V56" s="13"/>
      <x:c r="W56" s="16"/>
      <x:c r="X56" s="13"/>
      <x:c r="Y56" s="13"/>
      <x:c r="Z56" s="13"/>
      <x:c r="AA56" s="14" t="str">
        <x:f>IF(COUNTA(A56:Z56)=0,"",IF(OR(ISBLANK(A56),ISBLANK(B56),ISBLANK(C56),ISBLANK(D56),ISBLANK(E56),ISBLANK(F56),ISBLANK(G56),ISBLANK(H56),ISBLANK(I56),ISBLANK(J56),ISBLANK(K56),ISBLANK(L56),ISBLANK(M56),ISBLANK(N56),ISBLANK(O56),ISBLANK(P56),ISBLANK(Q56),ISBLANK(R56),ISBLANK(S56),ISBLANK(T56),ISBLANK(U56),ISBLANK(V56),ISBLANK(W56),ISBLANK(X56),ISBLANK(Y56)),"필수값 입력",IF(COUNTIFS($A$5:$A$104,A56)&gt;1,"중복 ID",IF(AND(IF(ISNUMBER(B56),AND(B56&gt;=1,MOD(B56,1)=0),FALSE),OR(C56="A",C56="B"),OR(D56=1,D56=2),OR(H56="PASS",H56="FAIL"),OR(I56="PASS",I56="FAIL"),OR(J56="PASS",J56="FAIL"),IF(ISNUMBER(K56),AND(K56&gt;=0,MOD(K56,1)=0),FALSE),IF(ISNUMBER(L56),AND(L56&gt;=0,MOD(L56,1)=0),FALSE),IF(ISNUMBER(M56),AND(M56&gt;=0,MOD(M56,1)=0),FALSE),IF(ISNUMBER(S56),AND(S56&gt;=0,MOD(S56,1)=0),FALSE),IF(ISNUMBER(T56),AND(T56&gt;=0,MOD(T56,1)=0),FALSE),IF(ISNUMBER(P56),AND(P56&gt;=0),FALSE),IF(ISNUMBER(Q56),AND(Q56&gt;=0),FALSE),IF(ISNUMBER(W56),AND(W56&gt;=0),FALSE),IF(ISNUMBER(R56),AND(R56&gt;=0,R56&lt;360),FALSE),Y56="FIELD_MEASUREMENT"),"유효 기록","입력 확인"))))</x:f>
      </x:c>
    </x:row>
    <x:row r="57" ht="22" customHeight="1">
      <x:c r="A57" s="13"/>
      <x:c r="B57" s="15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6"/>
      <x:c r="Q57" s="16"/>
      <x:c r="R57" s="16"/>
      <x:c r="S57" s="13"/>
      <x:c r="T57" s="13"/>
      <x:c r="U57" s="13"/>
      <x:c r="V57" s="13"/>
      <x:c r="W57" s="16"/>
      <x:c r="X57" s="13"/>
      <x:c r="Y57" s="13"/>
      <x:c r="Z57" s="13"/>
      <x:c r="AA57" s="14" t="str">
        <x:f>IF(COUNTA(A57:Z57)=0,"",IF(OR(ISBLANK(A57),ISBLANK(B57),ISBLANK(C57),ISBLANK(D57),ISBLANK(E57),ISBLANK(F57),ISBLANK(G57),ISBLANK(H57),ISBLANK(I57),ISBLANK(J57),ISBLANK(K57),ISBLANK(L57),ISBLANK(M57),ISBLANK(N57),ISBLANK(O57),ISBLANK(P57),ISBLANK(Q57),ISBLANK(R57),ISBLANK(S57),ISBLANK(T57),ISBLANK(U57),ISBLANK(V57),ISBLANK(W57),ISBLANK(X57),ISBLANK(Y57)),"필수값 입력",IF(COUNTIFS($A$5:$A$104,A57)&gt;1,"중복 ID",IF(AND(IF(ISNUMBER(B57),AND(B57&gt;=1,MOD(B57,1)=0),FALSE),OR(C57="A",C57="B"),OR(D57=1,D57=2),OR(H57="PASS",H57="FAIL"),OR(I57="PASS",I57="FAIL"),OR(J57="PASS",J57="FAIL"),IF(ISNUMBER(K57),AND(K57&gt;=0,MOD(K57,1)=0),FALSE),IF(ISNUMBER(L57),AND(L57&gt;=0,MOD(L57,1)=0),FALSE),IF(ISNUMBER(M57),AND(M57&gt;=0,MOD(M57,1)=0),FALSE),IF(ISNUMBER(S57),AND(S57&gt;=0,MOD(S57,1)=0),FALSE),IF(ISNUMBER(T57),AND(T57&gt;=0,MOD(T57,1)=0),FALSE),IF(ISNUMBER(P57),AND(P57&gt;=0),FALSE),IF(ISNUMBER(Q57),AND(Q57&gt;=0),FALSE),IF(ISNUMBER(W57),AND(W57&gt;=0),FALSE),IF(ISNUMBER(R57),AND(R57&gt;=0,R57&lt;360),FALSE),Y57="FIELD_MEASUREMENT"),"유효 기록","입력 확인"))))</x:f>
      </x:c>
    </x:row>
    <x:row r="58" ht="22" customHeight="1">
      <x:c r="A58" s="13"/>
      <x:c r="B58" s="15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6"/>
      <x:c r="Q58" s="16"/>
      <x:c r="R58" s="16"/>
      <x:c r="S58" s="13"/>
      <x:c r="T58" s="13"/>
      <x:c r="U58" s="13"/>
      <x:c r="V58" s="13"/>
      <x:c r="W58" s="16"/>
      <x:c r="X58" s="13"/>
      <x:c r="Y58" s="13"/>
      <x:c r="Z58" s="13"/>
      <x:c r="AA58" s="14" t="str">
        <x:f>IF(COUNTA(A58:Z58)=0,"",IF(OR(ISBLANK(A58),ISBLANK(B58),ISBLANK(C58),ISBLANK(D58),ISBLANK(E58),ISBLANK(F58),ISBLANK(G58),ISBLANK(H58),ISBLANK(I58),ISBLANK(J58),ISBLANK(K58),ISBLANK(L58),ISBLANK(M58),ISBLANK(N58),ISBLANK(O58),ISBLANK(P58),ISBLANK(Q58),ISBLANK(R58),ISBLANK(S58),ISBLANK(T58),ISBLANK(U58),ISBLANK(V58),ISBLANK(W58),ISBLANK(X58),ISBLANK(Y58)),"필수값 입력",IF(COUNTIFS($A$5:$A$104,A58)&gt;1,"중복 ID",IF(AND(IF(ISNUMBER(B58),AND(B58&gt;=1,MOD(B58,1)=0),FALSE),OR(C58="A",C58="B"),OR(D58=1,D58=2),OR(H58="PASS",H58="FAIL"),OR(I58="PASS",I58="FAIL"),OR(J58="PASS",J58="FAIL"),IF(ISNUMBER(K58),AND(K58&gt;=0,MOD(K58,1)=0),FALSE),IF(ISNUMBER(L58),AND(L58&gt;=0,MOD(L58,1)=0),FALSE),IF(ISNUMBER(M58),AND(M58&gt;=0,MOD(M58,1)=0),FALSE),IF(ISNUMBER(S58),AND(S58&gt;=0,MOD(S58,1)=0),FALSE),IF(ISNUMBER(T58),AND(T58&gt;=0,MOD(T58,1)=0),FALSE),IF(ISNUMBER(P58),AND(P58&gt;=0),FALSE),IF(ISNUMBER(Q58),AND(Q58&gt;=0),FALSE),IF(ISNUMBER(W58),AND(W58&gt;=0),FALSE),IF(ISNUMBER(R58),AND(R58&gt;=0,R58&lt;360),FALSE),Y58="FIELD_MEASUREMENT"),"유효 기록","입력 확인"))))</x:f>
      </x:c>
    </x:row>
    <x:row r="59" ht="22" customHeight="1">
      <x:c r="A59" s="13"/>
      <x:c r="B59" s="15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6"/>
      <x:c r="Q59" s="16"/>
      <x:c r="R59" s="16"/>
      <x:c r="S59" s="13"/>
      <x:c r="T59" s="13"/>
      <x:c r="U59" s="13"/>
      <x:c r="V59" s="13"/>
      <x:c r="W59" s="16"/>
      <x:c r="X59" s="13"/>
      <x:c r="Y59" s="13"/>
      <x:c r="Z59" s="13"/>
      <x:c r="AA59" s="14" t="str">
        <x:f>IF(COUNTA(A59:Z59)=0,"",IF(OR(ISBLANK(A59),ISBLANK(B59),ISBLANK(C59),ISBLANK(D59),ISBLANK(E59),ISBLANK(F59),ISBLANK(G59),ISBLANK(H59),ISBLANK(I59),ISBLANK(J59),ISBLANK(K59),ISBLANK(L59),ISBLANK(M59),ISBLANK(N59),ISBLANK(O59),ISBLANK(P59),ISBLANK(Q59),ISBLANK(R59),ISBLANK(S59),ISBLANK(T59),ISBLANK(U59),ISBLANK(V59),ISBLANK(W59),ISBLANK(X59),ISBLANK(Y59)),"필수값 입력",IF(COUNTIFS($A$5:$A$104,A59)&gt;1,"중복 ID",IF(AND(IF(ISNUMBER(B59),AND(B59&gt;=1,MOD(B59,1)=0),FALSE),OR(C59="A",C59="B"),OR(D59=1,D59=2),OR(H59="PASS",H59="FAIL"),OR(I59="PASS",I59="FAIL"),OR(J59="PASS",J59="FAIL"),IF(ISNUMBER(K59),AND(K59&gt;=0,MOD(K59,1)=0),FALSE),IF(ISNUMBER(L59),AND(L59&gt;=0,MOD(L59,1)=0),FALSE),IF(ISNUMBER(M59),AND(M59&gt;=0,MOD(M59,1)=0),FALSE),IF(ISNUMBER(S59),AND(S59&gt;=0,MOD(S59,1)=0),FALSE),IF(ISNUMBER(T59),AND(T59&gt;=0,MOD(T59,1)=0),FALSE),IF(ISNUMBER(P59),AND(P59&gt;=0),FALSE),IF(ISNUMBER(Q59),AND(Q59&gt;=0),FALSE),IF(ISNUMBER(W59),AND(W59&gt;=0),FALSE),IF(ISNUMBER(R59),AND(R59&gt;=0,R59&lt;360),FALSE),Y59="FIELD_MEASUREMENT"),"유효 기록","입력 확인"))))</x:f>
      </x:c>
    </x:row>
    <x:row r="60" ht="22" customHeight="1">
      <x:c r="A60" s="13"/>
      <x:c r="B60" s="15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6"/>
      <x:c r="Q60" s="16"/>
      <x:c r="R60" s="16"/>
      <x:c r="S60" s="13"/>
      <x:c r="T60" s="13"/>
      <x:c r="U60" s="13"/>
      <x:c r="V60" s="13"/>
      <x:c r="W60" s="16"/>
      <x:c r="X60" s="13"/>
      <x:c r="Y60" s="13"/>
      <x:c r="Z60" s="13"/>
      <x:c r="AA60" s="14" t="str">
        <x:f>IF(COUNTA(A60:Z60)=0,"",IF(OR(ISBLANK(A60),ISBLANK(B60),ISBLANK(C60),ISBLANK(D60),ISBLANK(E60),ISBLANK(F60),ISBLANK(G60),ISBLANK(H60),ISBLANK(I60),ISBLANK(J60),ISBLANK(K60),ISBLANK(L60),ISBLANK(M60),ISBLANK(N60),ISBLANK(O60),ISBLANK(P60),ISBLANK(Q60),ISBLANK(R60),ISBLANK(S60),ISBLANK(T60),ISBLANK(U60),ISBLANK(V60),ISBLANK(W60),ISBLANK(X60),ISBLANK(Y60)),"필수값 입력",IF(COUNTIFS($A$5:$A$104,A60)&gt;1,"중복 ID",IF(AND(IF(ISNUMBER(B60),AND(B60&gt;=1,MOD(B60,1)=0),FALSE),OR(C60="A",C60="B"),OR(D60=1,D60=2),OR(H60="PASS",H60="FAIL"),OR(I60="PASS",I60="FAIL"),OR(J60="PASS",J60="FAIL"),IF(ISNUMBER(K60),AND(K60&gt;=0,MOD(K60,1)=0),FALSE),IF(ISNUMBER(L60),AND(L60&gt;=0,MOD(L60,1)=0),FALSE),IF(ISNUMBER(M60),AND(M60&gt;=0,MOD(M60,1)=0),FALSE),IF(ISNUMBER(S60),AND(S60&gt;=0,MOD(S60,1)=0),FALSE),IF(ISNUMBER(T60),AND(T60&gt;=0,MOD(T60,1)=0),FALSE),IF(ISNUMBER(P60),AND(P60&gt;=0),FALSE),IF(ISNUMBER(Q60),AND(Q60&gt;=0),FALSE),IF(ISNUMBER(W60),AND(W60&gt;=0),FALSE),IF(ISNUMBER(R60),AND(R60&gt;=0,R60&lt;360),FALSE),Y60="FIELD_MEASUREMENT"),"유효 기록","입력 확인"))))</x:f>
      </x:c>
    </x:row>
    <x:row r="61" ht="22" customHeight="1">
      <x:c r="A61" s="13"/>
      <x:c r="B61" s="15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6"/>
      <x:c r="Q61" s="16"/>
      <x:c r="R61" s="16"/>
      <x:c r="S61" s="13"/>
      <x:c r="T61" s="13"/>
      <x:c r="U61" s="13"/>
      <x:c r="V61" s="13"/>
      <x:c r="W61" s="16"/>
      <x:c r="X61" s="13"/>
      <x:c r="Y61" s="13"/>
      <x:c r="Z61" s="13"/>
      <x:c r="AA61" s="14" t="str">
        <x:f>IF(COUNTA(A61:Z61)=0,"",IF(OR(ISBLANK(A61),ISBLANK(B61),ISBLANK(C61),ISBLANK(D61),ISBLANK(E61),ISBLANK(F61),ISBLANK(G61),ISBLANK(H61),ISBLANK(I61),ISBLANK(J61),ISBLANK(K61),ISBLANK(L61),ISBLANK(M61),ISBLANK(N61),ISBLANK(O61),ISBLANK(P61),ISBLANK(Q61),ISBLANK(R61),ISBLANK(S61),ISBLANK(T61),ISBLANK(U61),ISBLANK(V61),ISBLANK(W61),ISBLANK(X61),ISBLANK(Y61)),"필수값 입력",IF(COUNTIFS($A$5:$A$104,A61)&gt;1,"중복 ID",IF(AND(IF(ISNUMBER(B61),AND(B61&gt;=1,MOD(B61,1)=0),FALSE),OR(C61="A",C61="B"),OR(D61=1,D61=2),OR(H61="PASS",H61="FAIL"),OR(I61="PASS",I61="FAIL"),OR(J61="PASS",J61="FAIL"),IF(ISNUMBER(K61),AND(K61&gt;=0,MOD(K61,1)=0),FALSE),IF(ISNUMBER(L61),AND(L61&gt;=0,MOD(L61,1)=0),FALSE),IF(ISNUMBER(M61),AND(M61&gt;=0,MOD(M61,1)=0),FALSE),IF(ISNUMBER(S61),AND(S61&gt;=0,MOD(S61,1)=0),FALSE),IF(ISNUMBER(T61),AND(T61&gt;=0,MOD(T61,1)=0),FALSE),IF(ISNUMBER(P61),AND(P61&gt;=0),FALSE),IF(ISNUMBER(Q61),AND(Q61&gt;=0),FALSE),IF(ISNUMBER(W61),AND(W61&gt;=0),FALSE),IF(ISNUMBER(R61),AND(R61&gt;=0,R61&lt;360),FALSE),Y61="FIELD_MEASUREMENT"),"유효 기록","입력 확인"))))</x:f>
      </x:c>
    </x:row>
    <x:row r="62" ht="22" customHeight="1">
      <x:c r="A62" s="13"/>
      <x:c r="B62" s="15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6"/>
      <x:c r="Q62" s="16"/>
      <x:c r="R62" s="16"/>
      <x:c r="S62" s="13"/>
      <x:c r="T62" s="13"/>
      <x:c r="U62" s="13"/>
      <x:c r="V62" s="13"/>
      <x:c r="W62" s="16"/>
      <x:c r="X62" s="13"/>
      <x:c r="Y62" s="13"/>
      <x:c r="Z62" s="13"/>
      <x:c r="AA62" s="14" t="str">
        <x:f>IF(COUNTA(A62:Z62)=0,"",IF(OR(ISBLANK(A62),ISBLANK(B62),ISBLANK(C62),ISBLANK(D62),ISBLANK(E62),ISBLANK(F62),ISBLANK(G62),ISBLANK(H62),ISBLANK(I62),ISBLANK(J62),ISBLANK(K62),ISBLANK(L62),ISBLANK(M62),ISBLANK(N62),ISBLANK(O62),ISBLANK(P62),ISBLANK(Q62),ISBLANK(R62),ISBLANK(S62),ISBLANK(T62),ISBLANK(U62),ISBLANK(V62),ISBLANK(W62),ISBLANK(X62),ISBLANK(Y62)),"필수값 입력",IF(COUNTIFS($A$5:$A$104,A62)&gt;1,"중복 ID",IF(AND(IF(ISNUMBER(B62),AND(B62&gt;=1,MOD(B62,1)=0),FALSE),OR(C62="A",C62="B"),OR(D62=1,D62=2),OR(H62="PASS",H62="FAIL"),OR(I62="PASS",I62="FAIL"),OR(J62="PASS",J62="FAIL"),IF(ISNUMBER(K62),AND(K62&gt;=0,MOD(K62,1)=0),FALSE),IF(ISNUMBER(L62),AND(L62&gt;=0,MOD(L62,1)=0),FALSE),IF(ISNUMBER(M62),AND(M62&gt;=0,MOD(M62,1)=0),FALSE),IF(ISNUMBER(S62),AND(S62&gt;=0,MOD(S62,1)=0),FALSE),IF(ISNUMBER(T62),AND(T62&gt;=0,MOD(T62,1)=0),FALSE),IF(ISNUMBER(P62),AND(P62&gt;=0),FALSE),IF(ISNUMBER(Q62),AND(Q62&gt;=0),FALSE),IF(ISNUMBER(W62),AND(W62&gt;=0),FALSE),IF(ISNUMBER(R62),AND(R62&gt;=0,R62&lt;360),FALSE),Y62="FIELD_MEASUREMENT"),"유효 기록","입력 확인"))))</x:f>
      </x:c>
    </x:row>
    <x:row r="63" ht="22" customHeight="1">
      <x:c r="A63" s="13"/>
      <x:c r="B63" s="15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6"/>
      <x:c r="Q63" s="16"/>
      <x:c r="R63" s="16"/>
      <x:c r="S63" s="13"/>
      <x:c r="T63" s="13"/>
      <x:c r="U63" s="13"/>
      <x:c r="V63" s="13"/>
      <x:c r="W63" s="16"/>
      <x:c r="X63" s="13"/>
      <x:c r="Y63" s="13"/>
      <x:c r="Z63" s="13"/>
      <x:c r="AA63" s="14" t="str">
        <x:f>IF(COUNTA(A63:Z63)=0,"",IF(OR(ISBLANK(A63),ISBLANK(B63),ISBLANK(C63),ISBLANK(D63),ISBLANK(E63),ISBLANK(F63),ISBLANK(G63),ISBLANK(H63),ISBLANK(I63),ISBLANK(J63),ISBLANK(K63),ISBLANK(L63),ISBLANK(M63),ISBLANK(N63),ISBLANK(O63),ISBLANK(P63),ISBLANK(Q63),ISBLANK(R63),ISBLANK(S63),ISBLANK(T63),ISBLANK(U63),ISBLANK(V63),ISBLANK(W63),ISBLANK(X63),ISBLANK(Y63)),"필수값 입력",IF(COUNTIFS($A$5:$A$104,A63)&gt;1,"중복 ID",IF(AND(IF(ISNUMBER(B63),AND(B63&gt;=1,MOD(B63,1)=0),FALSE),OR(C63="A",C63="B"),OR(D63=1,D63=2),OR(H63="PASS",H63="FAIL"),OR(I63="PASS",I63="FAIL"),OR(J63="PASS",J63="FAIL"),IF(ISNUMBER(K63),AND(K63&gt;=0,MOD(K63,1)=0),FALSE),IF(ISNUMBER(L63),AND(L63&gt;=0,MOD(L63,1)=0),FALSE),IF(ISNUMBER(M63),AND(M63&gt;=0,MOD(M63,1)=0),FALSE),IF(ISNUMBER(S63),AND(S63&gt;=0,MOD(S63,1)=0),FALSE),IF(ISNUMBER(T63),AND(T63&gt;=0,MOD(T63,1)=0),FALSE),IF(ISNUMBER(P63),AND(P63&gt;=0),FALSE),IF(ISNUMBER(Q63),AND(Q63&gt;=0),FALSE),IF(ISNUMBER(W63),AND(W63&gt;=0),FALSE),IF(ISNUMBER(R63),AND(R63&gt;=0,R63&lt;360),FALSE),Y63="FIELD_MEASUREMENT"),"유효 기록","입력 확인"))))</x:f>
      </x:c>
    </x:row>
    <x:row r="64" ht="22" customHeight="1">
      <x:c r="A64" s="13"/>
      <x:c r="B64" s="15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6"/>
      <x:c r="Q64" s="16"/>
      <x:c r="R64" s="16"/>
      <x:c r="S64" s="13"/>
      <x:c r="T64" s="13"/>
      <x:c r="U64" s="13"/>
      <x:c r="V64" s="13"/>
      <x:c r="W64" s="16"/>
      <x:c r="X64" s="13"/>
      <x:c r="Y64" s="13"/>
      <x:c r="Z64" s="13"/>
      <x:c r="AA64" s="14" t="str">
        <x:f>IF(COUNTA(A64:Z64)=0,"",IF(OR(ISBLANK(A64),ISBLANK(B64),ISBLANK(C64),ISBLANK(D64),ISBLANK(E64),ISBLANK(F64),ISBLANK(G64),ISBLANK(H64),ISBLANK(I64),ISBLANK(J64),ISBLANK(K64),ISBLANK(L64),ISBLANK(M64),ISBLANK(N64),ISBLANK(O64),ISBLANK(P64),ISBLANK(Q64),ISBLANK(R64),ISBLANK(S64),ISBLANK(T64),ISBLANK(U64),ISBLANK(V64),ISBLANK(W64),ISBLANK(X64),ISBLANK(Y64)),"필수값 입력",IF(COUNTIFS($A$5:$A$104,A64)&gt;1,"중복 ID",IF(AND(IF(ISNUMBER(B64),AND(B64&gt;=1,MOD(B64,1)=0),FALSE),OR(C64="A",C64="B"),OR(D64=1,D64=2),OR(H64="PASS",H64="FAIL"),OR(I64="PASS",I64="FAIL"),OR(J64="PASS",J64="FAIL"),IF(ISNUMBER(K64),AND(K64&gt;=0,MOD(K64,1)=0),FALSE),IF(ISNUMBER(L64),AND(L64&gt;=0,MOD(L64,1)=0),FALSE),IF(ISNUMBER(M64),AND(M64&gt;=0,MOD(M64,1)=0),FALSE),IF(ISNUMBER(S64),AND(S64&gt;=0,MOD(S64,1)=0),FALSE),IF(ISNUMBER(T64),AND(T64&gt;=0,MOD(T64,1)=0),FALSE),IF(ISNUMBER(P64),AND(P64&gt;=0),FALSE),IF(ISNUMBER(Q64),AND(Q64&gt;=0),FALSE),IF(ISNUMBER(W64),AND(W64&gt;=0),FALSE),IF(ISNUMBER(R64),AND(R64&gt;=0,R64&lt;360),FALSE),Y64="FIELD_MEASUREMENT"),"유효 기록","입력 확인"))))</x:f>
      </x:c>
    </x:row>
    <x:row r="65" ht="22" customHeight="1">
      <x:c r="A65" s="13"/>
      <x:c r="B65" s="15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6"/>
      <x:c r="Q65" s="16"/>
      <x:c r="R65" s="16"/>
      <x:c r="S65" s="13"/>
      <x:c r="T65" s="13"/>
      <x:c r="U65" s="13"/>
      <x:c r="V65" s="13"/>
      <x:c r="W65" s="16"/>
      <x:c r="X65" s="13"/>
      <x:c r="Y65" s="13"/>
      <x:c r="Z65" s="13"/>
      <x:c r="AA65" s="14" t="str">
        <x:f>IF(COUNTA(A65:Z65)=0,"",IF(OR(ISBLANK(A65),ISBLANK(B65),ISBLANK(C65),ISBLANK(D65),ISBLANK(E65),ISBLANK(F65),ISBLANK(G65),ISBLANK(H65),ISBLANK(I65),ISBLANK(J65),ISBLANK(K65),ISBLANK(L65),ISBLANK(M65),ISBLANK(N65),ISBLANK(O65),ISBLANK(P65),ISBLANK(Q65),ISBLANK(R65),ISBLANK(S65),ISBLANK(T65),ISBLANK(U65),ISBLANK(V65),ISBLANK(W65),ISBLANK(X65),ISBLANK(Y65)),"필수값 입력",IF(COUNTIFS($A$5:$A$104,A65)&gt;1,"중복 ID",IF(AND(IF(ISNUMBER(B65),AND(B65&gt;=1,MOD(B65,1)=0),FALSE),OR(C65="A",C65="B"),OR(D65=1,D65=2),OR(H65="PASS",H65="FAIL"),OR(I65="PASS",I65="FAIL"),OR(J65="PASS",J65="FAIL"),IF(ISNUMBER(K65),AND(K65&gt;=0,MOD(K65,1)=0),FALSE),IF(ISNUMBER(L65),AND(L65&gt;=0,MOD(L65,1)=0),FALSE),IF(ISNUMBER(M65),AND(M65&gt;=0,MOD(M65,1)=0),FALSE),IF(ISNUMBER(S65),AND(S65&gt;=0,MOD(S65,1)=0),FALSE),IF(ISNUMBER(T65),AND(T65&gt;=0,MOD(T65,1)=0),FALSE),IF(ISNUMBER(P65),AND(P65&gt;=0),FALSE),IF(ISNUMBER(Q65),AND(Q65&gt;=0),FALSE),IF(ISNUMBER(W65),AND(W65&gt;=0),FALSE),IF(ISNUMBER(R65),AND(R65&gt;=0,R65&lt;360),FALSE),Y65="FIELD_MEASUREMENT"),"유효 기록","입력 확인"))))</x:f>
      </x:c>
    </x:row>
    <x:row r="66" ht="22" customHeight="1">
      <x:c r="A66" s="13"/>
      <x:c r="B66" s="15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6"/>
      <x:c r="Q66" s="16"/>
      <x:c r="R66" s="16"/>
      <x:c r="S66" s="13"/>
      <x:c r="T66" s="13"/>
      <x:c r="U66" s="13"/>
      <x:c r="V66" s="13"/>
      <x:c r="W66" s="16"/>
      <x:c r="X66" s="13"/>
      <x:c r="Y66" s="13"/>
      <x:c r="Z66" s="13"/>
      <x:c r="AA66" s="14" t="str">
        <x:f>IF(COUNTA(A66:Z66)=0,"",IF(OR(ISBLANK(A66),ISBLANK(B66),ISBLANK(C66),ISBLANK(D66),ISBLANK(E66),ISBLANK(F66),ISBLANK(G66),ISBLANK(H66),ISBLANK(I66),ISBLANK(J66),ISBLANK(K66),ISBLANK(L66),ISBLANK(M66),ISBLANK(N66),ISBLANK(O66),ISBLANK(P66),ISBLANK(Q66),ISBLANK(R66),ISBLANK(S66),ISBLANK(T66),ISBLANK(U66),ISBLANK(V66),ISBLANK(W66),ISBLANK(X66),ISBLANK(Y66)),"필수값 입력",IF(COUNTIFS($A$5:$A$104,A66)&gt;1,"중복 ID",IF(AND(IF(ISNUMBER(B66),AND(B66&gt;=1,MOD(B66,1)=0),FALSE),OR(C66="A",C66="B"),OR(D66=1,D66=2),OR(H66="PASS",H66="FAIL"),OR(I66="PASS",I66="FAIL"),OR(J66="PASS",J66="FAIL"),IF(ISNUMBER(K66),AND(K66&gt;=0,MOD(K66,1)=0),FALSE),IF(ISNUMBER(L66),AND(L66&gt;=0,MOD(L66,1)=0),FALSE),IF(ISNUMBER(M66),AND(M66&gt;=0,MOD(M66,1)=0),FALSE),IF(ISNUMBER(S66),AND(S66&gt;=0,MOD(S66,1)=0),FALSE),IF(ISNUMBER(T66),AND(T66&gt;=0,MOD(T66,1)=0),FALSE),IF(ISNUMBER(P66),AND(P66&gt;=0),FALSE),IF(ISNUMBER(Q66),AND(Q66&gt;=0),FALSE),IF(ISNUMBER(W66),AND(W66&gt;=0),FALSE),IF(ISNUMBER(R66),AND(R66&gt;=0,R66&lt;360),FALSE),Y66="FIELD_MEASUREMENT"),"유효 기록","입력 확인"))))</x:f>
      </x:c>
    </x:row>
    <x:row r="67" ht="22" customHeight="1">
      <x:c r="A67" s="13"/>
      <x:c r="B67" s="15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6"/>
      <x:c r="Q67" s="16"/>
      <x:c r="R67" s="16"/>
      <x:c r="S67" s="13"/>
      <x:c r="T67" s="13"/>
      <x:c r="U67" s="13"/>
      <x:c r="V67" s="13"/>
      <x:c r="W67" s="16"/>
      <x:c r="X67" s="13"/>
      <x:c r="Y67" s="13"/>
      <x:c r="Z67" s="13"/>
      <x:c r="AA67" s="14" t="str">
        <x:f>IF(COUNTA(A67:Z67)=0,"",IF(OR(ISBLANK(A67),ISBLANK(B67),ISBLANK(C67),ISBLANK(D67),ISBLANK(E67),ISBLANK(F67),ISBLANK(G67),ISBLANK(H67),ISBLANK(I67),ISBLANK(J67),ISBLANK(K67),ISBLANK(L67),ISBLANK(M67),ISBLANK(N67),ISBLANK(O67),ISBLANK(P67),ISBLANK(Q67),ISBLANK(R67),ISBLANK(S67),ISBLANK(T67),ISBLANK(U67),ISBLANK(V67),ISBLANK(W67),ISBLANK(X67),ISBLANK(Y67)),"필수값 입력",IF(COUNTIFS($A$5:$A$104,A67)&gt;1,"중복 ID",IF(AND(IF(ISNUMBER(B67),AND(B67&gt;=1,MOD(B67,1)=0),FALSE),OR(C67="A",C67="B"),OR(D67=1,D67=2),OR(H67="PASS",H67="FAIL"),OR(I67="PASS",I67="FAIL"),OR(J67="PASS",J67="FAIL"),IF(ISNUMBER(K67),AND(K67&gt;=0,MOD(K67,1)=0),FALSE),IF(ISNUMBER(L67),AND(L67&gt;=0,MOD(L67,1)=0),FALSE),IF(ISNUMBER(M67),AND(M67&gt;=0,MOD(M67,1)=0),FALSE),IF(ISNUMBER(S67),AND(S67&gt;=0,MOD(S67,1)=0),FALSE),IF(ISNUMBER(T67),AND(T67&gt;=0,MOD(T67,1)=0),FALSE),IF(ISNUMBER(P67),AND(P67&gt;=0),FALSE),IF(ISNUMBER(Q67),AND(Q67&gt;=0),FALSE),IF(ISNUMBER(W67),AND(W67&gt;=0),FALSE),IF(ISNUMBER(R67),AND(R67&gt;=0,R67&lt;360),FALSE),Y67="FIELD_MEASUREMENT"),"유효 기록","입력 확인"))))</x:f>
      </x:c>
    </x:row>
    <x:row r="68" ht="22" customHeight="1">
      <x:c r="A68" s="13"/>
      <x:c r="B68" s="15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6"/>
      <x:c r="Q68" s="16"/>
      <x:c r="R68" s="16"/>
      <x:c r="S68" s="13"/>
      <x:c r="T68" s="13"/>
      <x:c r="U68" s="13"/>
      <x:c r="V68" s="13"/>
      <x:c r="W68" s="16"/>
      <x:c r="X68" s="13"/>
      <x:c r="Y68" s="13"/>
      <x:c r="Z68" s="13"/>
      <x:c r="AA68" s="14" t="str">
        <x:f>IF(COUNTA(A68:Z68)=0,"",IF(OR(ISBLANK(A68),ISBLANK(B68),ISBLANK(C68),ISBLANK(D68),ISBLANK(E68),ISBLANK(F68),ISBLANK(G68),ISBLANK(H68),ISBLANK(I68),ISBLANK(J68),ISBLANK(K68),ISBLANK(L68),ISBLANK(M68),ISBLANK(N68),ISBLANK(O68),ISBLANK(P68),ISBLANK(Q68),ISBLANK(R68),ISBLANK(S68),ISBLANK(T68),ISBLANK(U68),ISBLANK(V68),ISBLANK(W68),ISBLANK(X68),ISBLANK(Y68)),"필수값 입력",IF(COUNTIFS($A$5:$A$104,A68)&gt;1,"중복 ID",IF(AND(IF(ISNUMBER(B68),AND(B68&gt;=1,MOD(B68,1)=0),FALSE),OR(C68="A",C68="B"),OR(D68=1,D68=2),OR(H68="PASS",H68="FAIL"),OR(I68="PASS",I68="FAIL"),OR(J68="PASS",J68="FAIL"),IF(ISNUMBER(K68),AND(K68&gt;=0,MOD(K68,1)=0),FALSE),IF(ISNUMBER(L68),AND(L68&gt;=0,MOD(L68,1)=0),FALSE),IF(ISNUMBER(M68),AND(M68&gt;=0,MOD(M68,1)=0),FALSE),IF(ISNUMBER(S68),AND(S68&gt;=0,MOD(S68,1)=0),FALSE),IF(ISNUMBER(T68),AND(T68&gt;=0,MOD(T68,1)=0),FALSE),IF(ISNUMBER(P68),AND(P68&gt;=0),FALSE),IF(ISNUMBER(Q68),AND(Q68&gt;=0),FALSE),IF(ISNUMBER(W68),AND(W68&gt;=0),FALSE),IF(ISNUMBER(R68),AND(R68&gt;=0,R68&lt;360),FALSE),Y68="FIELD_MEASUREMENT"),"유효 기록","입력 확인"))))</x:f>
      </x:c>
    </x:row>
    <x:row r="69" ht="22" customHeight="1">
      <x:c r="A69" s="13"/>
      <x:c r="B69" s="15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6"/>
      <x:c r="Q69" s="16"/>
      <x:c r="R69" s="16"/>
      <x:c r="S69" s="13"/>
      <x:c r="T69" s="13"/>
      <x:c r="U69" s="13"/>
      <x:c r="V69" s="13"/>
      <x:c r="W69" s="16"/>
      <x:c r="X69" s="13"/>
      <x:c r="Y69" s="13"/>
      <x:c r="Z69" s="13"/>
      <x:c r="AA69" s="14" t="str">
        <x:f>IF(COUNTA(A69:Z69)=0,"",IF(OR(ISBLANK(A69),ISBLANK(B69),ISBLANK(C69),ISBLANK(D69),ISBLANK(E69),ISBLANK(F69),ISBLANK(G69),ISBLANK(H69),ISBLANK(I69),ISBLANK(J69),ISBLANK(K69),ISBLANK(L69),ISBLANK(M69),ISBLANK(N69),ISBLANK(O69),ISBLANK(P69),ISBLANK(Q69),ISBLANK(R69),ISBLANK(S69),ISBLANK(T69),ISBLANK(U69),ISBLANK(V69),ISBLANK(W69),ISBLANK(X69),ISBLANK(Y69)),"필수값 입력",IF(COUNTIFS($A$5:$A$104,A69)&gt;1,"중복 ID",IF(AND(IF(ISNUMBER(B69),AND(B69&gt;=1,MOD(B69,1)=0),FALSE),OR(C69="A",C69="B"),OR(D69=1,D69=2),OR(H69="PASS",H69="FAIL"),OR(I69="PASS",I69="FAIL"),OR(J69="PASS",J69="FAIL"),IF(ISNUMBER(K69),AND(K69&gt;=0,MOD(K69,1)=0),FALSE),IF(ISNUMBER(L69),AND(L69&gt;=0,MOD(L69,1)=0),FALSE),IF(ISNUMBER(M69),AND(M69&gt;=0,MOD(M69,1)=0),FALSE),IF(ISNUMBER(S69),AND(S69&gt;=0,MOD(S69,1)=0),FALSE),IF(ISNUMBER(T69),AND(T69&gt;=0,MOD(T69,1)=0),FALSE),IF(ISNUMBER(P69),AND(P69&gt;=0),FALSE),IF(ISNUMBER(Q69),AND(Q69&gt;=0),FALSE),IF(ISNUMBER(W69),AND(W69&gt;=0),FALSE),IF(ISNUMBER(R69),AND(R69&gt;=0,R69&lt;360),FALSE),Y69="FIELD_MEASUREMENT"),"유효 기록","입력 확인"))))</x:f>
      </x:c>
    </x:row>
    <x:row r="70" ht="22" customHeight="1">
      <x:c r="A70" s="13"/>
      <x:c r="B70" s="15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6"/>
      <x:c r="Q70" s="16"/>
      <x:c r="R70" s="16"/>
      <x:c r="S70" s="13"/>
      <x:c r="T70" s="13"/>
      <x:c r="U70" s="13"/>
      <x:c r="V70" s="13"/>
      <x:c r="W70" s="16"/>
      <x:c r="X70" s="13"/>
      <x:c r="Y70" s="13"/>
      <x:c r="Z70" s="13"/>
      <x:c r="AA70" s="14" t="str">
        <x:f>IF(COUNTA(A70:Z70)=0,"",IF(OR(ISBLANK(A70),ISBLANK(B70),ISBLANK(C70),ISBLANK(D70),ISBLANK(E70),ISBLANK(F70),ISBLANK(G70),ISBLANK(H70),ISBLANK(I70),ISBLANK(J70),ISBLANK(K70),ISBLANK(L70),ISBLANK(M70),ISBLANK(N70),ISBLANK(O70),ISBLANK(P70),ISBLANK(Q70),ISBLANK(R70),ISBLANK(S70),ISBLANK(T70),ISBLANK(U70),ISBLANK(V70),ISBLANK(W70),ISBLANK(X70),ISBLANK(Y70)),"필수값 입력",IF(COUNTIFS($A$5:$A$104,A70)&gt;1,"중복 ID",IF(AND(IF(ISNUMBER(B70),AND(B70&gt;=1,MOD(B70,1)=0),FALSE),OR(C70="A",C70="B"),OR(D70=1,D70=2),OR(H70="PASS",H70="FAIL"),OR(I70="PASS",I70="FAIL"),OR(J70="PASS",J70="FAIL"),IF(ISNUMBER(K70),AND(K70&gt;=0,MOD(K70,1)=0),FALSE),IF(ISNUMBER(L70),AND(L70&gt;=0,MOD(L70,1)=0),FALSE),IF(ISNUMBER(M70),AND(M70&gt;=0,MOD(M70,1)=0),FALSE),IF(ISNUMBER(S70),AND(S70&gt;=0,MOD(S70,1)=0),FALSE),IF(ISNUMBER(T70),AND(T70&gt;=0,MOD(T70,1)=0),FALSE),IF(ISNUMBER(P70),AND(P70&gt;=0),FALSE),IF(ISNUMBER(Q70),AND(Q70&gt;=0),FALSE),IF(ISNUMBER(W70),AND(W70&gt;=0),FALSE),IF(ISNUMBER(R70),AND(R70&gt;=0,R70&lt;360),FALSE),Y70="FIELD_MEASUREMENT"),"유효 기록","입력 확인"))))</x:f>
      </x:c>
    </x:row>
    <x:row r="71" ht="22" customHeight="1">
      <x:c r="A71" s="13"/>
      <x:c r="B71" s="15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6"/>
      <x:c r="Q71" s="16"/>
      <x:c r="R71" s="16"/>
      <x:c r="S71" s="13"/>
      <x:c r="T71" s="13"/>
      <x:c r="U71" s="13"/>
      <x:c r="V71" s="13"/>
      <x:c r="W71" s="16"/>
      <x:c r="X71" s="13"/>
      <x:c r="Y71" s="13"/>
      <x:c r="Z71" s="13"/>
      <x:c r="AA71" s="14" t="str">
        <x:f>IF(COUNTA(A71:Z71)=0,"",IF(OR(ISBLANK(A71),ISBLANK(B71),ISBLANK(C71),ISBLANK(D71),ISBLANK(E71),ISBLANK(F71),ISBLANK(G71),ISBLANK(H71),ISBLANK(I71),ISBLANK(J71),ISBLANK(K71),ISBLANK(L71),ISBLANK(M71),ISBLANK(N71),ISBLANK(O71),ISBLANK(P71),ISBLANK(Q71),ISBLANK(R71),ISBLANK(S71),ISBLANK(T71),ISBLANK(U71),ISBLANK(V71),ISBLANK(W71),ISBLANK(X71),ISBLANK(Y71)),"필수값 입력",IF(COUNTIFS($A$5:$A$104,A71)&gt;1,"중복 ID",IF(AND(IF(ISNUMBER(B71),AND(B71&gt;=1,MOD(B71,1)=0),FALSE),OR(C71="A",C71="B"),OR(D71=1,D71=2),OR(H71="PASS",H71="FAIL"),OR(I71="PASS",I71="FAIL"),OR(J71="PASS",J71="FAIL"),IF(ISNUMBER(K71),AND(K71&gt;=0,MOD(K71,1)=0),FALSE),IF(ISNUMBER(L71),AND(L71&gt;=0,MOD(L71,1)=0),FALSE),IF(ISNUMBER(M71),AND(M71&gt;=0,MOD(M71,1)=0),FALSE),IF(ISNUMBER(S71),AND(S71&gt;=0,MOD(S71,1)=0),FALSE),IF(ISNUMBER(T71),AND(T71&gt;=0,MOD(T71,1)=0),FALSE),IF(ISNUMBER(P71),AND(P71&gt;=0),FALSE),IF(ISNUMBER(Q71),AND(Q71&gt;=0),FALSE),IF(ISNUMBER(W71),AND(W71&gt;=0),FALSE),IF(ISNUMBER(R71),AND(R71&gt;=0,R71&lt;360),FALSE),Y71="FIELD_MEASUREMENT"),"유효 기록","입력 확인"))))</x:f>
      </x:c>
    </x:row>
    <x:row r="72" ht="22" customHeight="1">
      <x:c r="A72" s="13"/>
      <x:c r="B72" s="15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6"/>
      <x:c r="Q72" s="16"/>
      <x:c r="R72" s="16"/>
      <x:c r="S72" s="13"/>
      <x:c r="T72" s="13"/>
      <x:c r="U72" s="13"/>
      <x:c r="V72" s="13"/>
      <x:c r="W72" s="16"/>
      <x:c r="X72" s="13"/>
      <x:c r="Y72" s="13"/>
      <x:c r="Z72" s="13"/>
      <x:c r="AA72" s="14" t="str">
        <x:f>IF(COUNTA(A72:Z72)=0,"",IF(OR(ISBLANK(A72),ISBLANK(B72),ISBLANK(C72),ISBLANK(D72),ISBLANK(E72),ISBLANK(F72),ISBLANK(G72),ISBLANK(H72),ISBLANK(I72),ISBLANK(J72),ISBLANK(K72),ISBLANK(L72),ISBLANK(M72),ISBLANK(N72),ISBLANK(O72),ISBLANK(P72),ISBLANK(Q72),ISBLANK(R72),ISBLANK(S72),ISBLANK(T72),ISBLANK(U72),ISBLANK(V72),ISBLANK(W72),ISBLANK(X72),ISBLANK(Y72)),"필수값 입력",IF(COUNTIFS($A$5:$A$104,A72)&gt;1,"중복 ID",IF(AND(IF(ISNUMBER(B72),AND(B72&gt;=1,MOD(B72,1)=0),FALSE),OR(C72="A",C72="B"),OR(D72=1,D72=2),OR(H72="PASS",H72="FAIL"),OR(I72="PASS",I72="FAIL"),OR(J72="PASS",J72="FAIL"),IF(ISNUMBER(K72),AND(K72&gt;=0,MOD(K72,1)=0),FALSE),IF(ISNUMBER(L72),AND(L72&gt;=0,MOD(L72,1)=0),FALSE),IF(ISNUMBER(M72),AND(M72&gt;=0,MOD(M72,1)=0),FALSE),IF(ISNUMBER(S72),AND(S72&gt;=0,MOD(S72,1)=0),FALSE),IF(ISNUMBER(T72),AND(T72&gt;=0,MOD(T72,1)=0),FALSE),IF(ISNUMBER(P72),AND(P72&gt;=0),FALSE),IF(ISNUMBER(Q72),AND(Q72&gt;=0),FALSE),IF(ISNUMBER(W72),AND(W72&gt;=0),FALSE),IF(ISNUMBER(R72),AND(R72&gt;=0,R72&lt;360),FALSE),Y72="FIELD_MEASUREMENT"),"유효 기록","입력 확인"))))</x:f>
      </x:c>
    </x:row>
    <x:row r="73" ht="22" customHeight="1">
      <x:c r="A73" s="13"/>
      <x:c r="B73" s="15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6"/>
      <x:c r="Q73" s="16"/>
      <x:c r="R73" s="16"/>
      <x:c r="S73" s="13"/>
      <x:c r="T73" s="13"/>
      <x:c r="U73" s="13"/>
      <x:c r="V73" s="13"/>
      <x:c r="W73" s="16"/>
      <x:c r="X73" s="13"/>
      <x:c r="Y73" s="13"/>
      <x:c r="Z73" s="13"/>
      <x:c r="AA73" s="14" t="str">
        <x:f>IF(COUNTA(A73:Z73)=0,"",IF(OR(ISBLANK(A73),ISBLANK(B73),ISBLANK(C73),ISBLANK(D73),ISBLANK(E73),ISBLANK(F73),ISBLANK(G73),ISBLANK(H73),ISBLANK(I73),ISBLANK(J73),ISBLANK(K73),ISBLANK(L73),ISBLANK(M73),ISBLANK(N73),ISBLANK(O73),ISBLANK(P73),ISBLANK(Q73),ISBLANK(R73),ISBLANK(S73),ISBLANK(T73),ISBLANK(U73),ISBLANK(V73),ISBLANK(W73),ISBLANK(X73),ISBLANK(Y73)),"필수값 입력",IF(COUNTIFS($A$5:$A$104,A73)&gt;1,"중복 ID",IF(AND(IF(ISNUMBER(B73),AND(B73&gt;=1,MOD(B73,1)=0),FALSE),OR(C73="A",C73="B"),OR(D73=1,D73=2),OR(H73="PASS",H73="FAIL"),OR(I73="PASS",I73="FAIL"),OR(J73="PASS",J73="FAIL"),IF(ISNUMBER(K73),AND(K73&gt;=0,MOD(K73,1)=0),FALSE),IF(ISNUMBER(L73),AND(L73&gt;=0,MOD(L73,1)=0),FALSE),IF(ISNUMBER(M73),AND(M73&gt;=0,MOD(M73,1)=0),FALSE),IF(ISNUMBER(S73),AND(S73&gt;=0,MOD(S73,1)=0),FALSE),IF(ISNUMBER(T73),AND(T73&gt;=0,MOD(T73,1)=0),FALSE),IF(ISNUMBER(P73),AND(P73&gt;=0),FALSE),IF(ISNUMBER(Q73),AND(Q73&gt;=0),FALSE),IF(ISNUMBER(W73),AND(W73&gt;=0),FALSE),IF(ISNUMBER(R73),AND(R73&gt;=0,R73&lt;360),FALSE),Y73="FIELD_MEASUREMENT"),"유효 기록","입력 확인"))))</x:f>
      </x:c>
    </x:row>
    <x:row r="74" ht="22" customHeight="1">
      <x:c r="A74" s="13"/>
      <x:c r="B74" s="15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6"/>
      <x:c r="Q74" s="16"/>
      <x:c r="R74" s="16"/>
      <x:c r="S74" s="13"/>
      <x:c r="T74" s="13"/>
      <x:c r="U74" s="13"/>
      <x:c r="V74" s="13"/>
      <x:c r="W74" s="16"/>
      <x:c r="X74" s="13"/>
      <x:c r="Y74" s="13"/>
      <x:c r="Z74" s="13"/>
      <x:c r="AA74" s="14" t="str">
        <x:f>IF(COUNTA(A74:Z74)=0,"",IF(OR(ISBLANK(A74),ISBLANK(B74),ISBLANK(C74),ISBLANK(D74),ISBLANK(E74),ISBLANK(F74),ISBLANK(G74),ISBLANK(H74),ISBLANK(I74),ISBLANK(J74),ISBLANK(K74),ISBLANK(L74),ISBLANK(M74),ISBLANK(N74),ISBLANK(O74),ISBLANK(P74),ISBLANK(Q74),ISBLANK(R74),ISBLANK(S74),ISBLANK(T74),ISBLANK(U74),ISBLANK(V74),ISBLANK(W74),ISBLANK(X74),ISBLANK(Y74)),"필수값 입력",IF(COUNTIFS($A$5:$A$104,A74)&gt;1,"중복 ID",IF(AND(IF(ISNUMBER(B74),AND(B74&gt;=1,MOD(B74,1)=0),FALSE),OR(C74="A",C74="B"),OR(D74=1,D74=2),OR(H74="PASS",H74="FAIL"),OR(I74="PASS",I74="FAIL"),OR(J74="PASS",J74="FAIL"),IF(ISNUMBER(K74),AND(K74&gt;=0,MOD(K74,1)=0),FALSE),IF(ISNUMBER(L74),AND(L74&gt;=0,MOD(L74,1)=0),FALSE),IF(ISNUMBER(M74),AND(M74&gt;=0,MOD(M74,1)=0),FALSE),IF(ISNUMBER(S74),AND(S74&gt;=0,MOD(S74,1)=0),FALSE),IF(ISNUMBER(T74),AND(T74&gt;=0,MOD(T74,1)=0),FALSE),IF(ISNUMBER(P74),AND(P74&gt;=0),FALSE),IF(ISNUMBER(Q74),AND(Q74&gt;=0),FALSE),IF(ISNUMBER(W74),AND(W74&gt;=0),FALSE),IF(ISNUMBER(R74),AND(R74&gt;=0,R74&lt;360),FALSE),Y74="FIELD_MEASUREMENT"),"유효 기록","입력 확인"))))</x:f>
      </x:c>
    </x:row>
    <x:row r="75" ht="22" customHeight="1">
      <x:c r="A75" s="13"/>
      <x:c r="B75" s="15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6"/>
      <x:c r="Q75" s="16"/>
      <x:c r="R75" s="16"/>
      <x:c r="S75" s="13"/>
      <x:c r="T75" s="13"/>
      <x:c r="U75" s="13"/>
      <x:c r="V75" s="13"/>
      <x:c r="W75" s="16"/>
      <x:c r="X75" s="13"/>
      <x:c r="Y75" s="13"/>
      <x:c r="Z75" s="13"/>
      <x:c r="AA75" s="14" t="str">
        <x:f>IF(COUNTA(A75:Z75)=0,"",IF(OR(ISBLANK(A75),ISBLANK(B75),ISBLANK(C75),ISBLANK(D75),ISBLANK(E75),ISBLANK(F75),ISBLANK(G75),ISBLANK(H75),ISBLANK(I75),ISBLANK(J75),ISBLANK(K75),ISBLANK(L75),ISBLANK(M75),ISBLANK(N75),ISBLANK(O75),ISBLANK(P75),ISBLANK(Q75),ISBLANK(R75),ISBLANK(S75),ISBLANK(T75),ISBLANK(U75),ISBLANK(V75),ISBLANK(W75),ISBLANK(X75),ISBLANK(Y75)),"필수값 입력",IF(COUNTIFS($A$5:$A$104,A75)&gt;1,"중복 ID",IF(AND(IF(ISNUMBER(B75),AND(B75&gt;=1,MOD(B75,1)=0),FALSE),OR(C75="A",C75="B"),OR(D75=1,D75=2),OR(H75="PASS",H75="FAIL"),OR(I75="PASS",I75="FAIL"),OR(J75="PASS",J75="FAIL"),IF(ISNUMBER(K75),AND(K75&gt;=0,MOD(K75,1)=0),FALSE),IF(ISNUMBER(L75),AND(L75&gt;=0,MOD(L75,1)=0),FALSE),IF(ISNUMBER(M75),AND(M75&gt;=0,MOD(M75,1)=0),FALSE),IF(ISNUMBER(S75),AND(S75&gt;=0,MOD(S75,1)=0),FALSE),IF(ISNUMBER(T75),AND(T75&gt;=0,MOD(T75,1)=0),FALSE),IF(ISNUMBER(P75),AND(P75&gt;=0),FALSE),IF(ISNUMBER(Q75),AND(Q75&gt;=0),FALSE),IF(ISNUMBER(W75),AND(W75&gt;=0),FALSE),IF(ISNUMBER(R75),AND(R75&gt;=0,R75&lt;360),FALSE),Y75="FIELD_MEASUREMENT"),"유효 기록","입력 확인"))))</x:f>
      </x:c>
    </x:row>
    <x:row r="76" ht="22" customHeight="1">
      <x:c r="A76" s="13"/>
      <x:c r="B76" s="15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6"/>
      <x:c r="Q76" s="16"/>
      <x:c r="R76" s="16"/>
      <x:c r="S76" s="13"/>
      <x:c r="T76" s="13"/>
      <x:c r="U76" s="13"/>
      <x:c r="V76" s="13"/>
      <x:c r="W76" s="16"/>
      <x:c r="X76" s="13"/>
      <x:c r="Y76" s="13"/>
      <x:c r="Z76" s="13"/>
      <x:c r="AA76" s="14" t="str">
        <x:f>IF(COUNTA(A76:Z76)=0,"",IF(OR(ISBLANK(A76),ISBLANK(B76),ISBLANK(C76),ISBLANK(D76),ISBLANK(E76),ISBLANK(F76),ISBLANK(G76),ISBLANK(H76),ISBLANK(I76),ISBLANK(J76),ISBLANK(K76),ISBLANK(L76),ISBLANK(M76),ISBLANK(N76),ISBLANK(O76),ISBLANK(P76),ISBLANK(Q76),ISBLANK(R76),ISBLANK(S76),ISBLANK(T76),ISBLANK(U76),ISBLANK(V76),ISBLANK(W76),ISBLANK(X76),ISBLANK(Y76)),"필수값 입력",IF(COUNTIFS($A$5:$A$104,A76)&gt;1,"중복 ID",IF(AND(IF(ISNUMBER(B76),AND(B76&gt;=1,MOD(B76,1)=0),FALSE),OR(C76="A",C76="B"),OR(D76=1,D76=2),OR(H76="PASS",H76="FAIL"),OR(I76="PASS",I76="FAIL"),OR(J76="PASS",J76="FAIL"),IF(ISNUMBER(K76),AND(K76&gt;=0,MOD(K76,1)=0),FALSE),IF(ISNUMBER(L76),AND(L76&gt;=0,MOD(L76,1)=0),FALSE),IF(ISNUMBER(M76),AND(M76&gt;=0,MOD(M76,1)=0),FALSE),IF(ISNUMBER(S76),AND(S76&gt;=0,MOD(S76,1)=0),FALSE),IF(ISNUMBER(T76),AND(T76&gt;=0,MOD(T76,1)=0),FALSE),IF(ISNUMBER(P76),AND(P76&gt;=0),FALSE),IF(ISNUMBER(Q76),AND(Q76&gt;=0),FALSE),IF(ISNUMBER(W76),AND(W76&gt;=0),FALSE),IF(ISNUMBER(R76),AND(R76&gt;=0,R76&lt;360),FALSE),Y76="FIELD_MEASUREMENT"),"유효 기록","입력 확인"))))</x:f>
      </x:c>
    </x:row>
    <x:row r="77" ht="22" customHeight="1">
      <x:c r="A77" s="13"/>
      <x:c r="B77" s="15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6"/>
      <x:c r="Q77" s="16"/>
      <x:c r="R77" s="16"/>
      <x:c r="S77" s="13"/>
      <x:c r="T77" s="13"/>
      <x:c r="U77" s="13"/>
      <x:c r="V77" s="13"/>
      <x:c r="W77" s="16"/>
      <x:c r="X77" s="13"/>
      <x:c r="Y77" s="13"/>
      <x:c r="Z77" s="13"/>
      <x:c r="AA77" s="14" t="str">
        <x:f>IF(COUNTA(A77:Z77)=0,"",IF(OR(ISBLANK(A77),ISBLANK(B77),ISBLANK(C77),ISBLANK(D77),ISBLANK(E77),ISBLANK(F77),ISBLANK(G77),ISBLANK(H77),ISBLANK(I77),ISBLANK(J77),ISBLANK(K77),ISBLANK(L77),ISBLANK(M77),ISBLANK(N77),ISBLANK(O77),ISBLANK(P77),ISBLANK(Q77),ISBLANK(R77),ISBLANK(S77),ISBLANK(T77),ISBLANK(U77),ISBLANK(V77),ISBLANK(W77),ISBLANK(X77),ISBLANK(Y77)),"필수값 입력",IF(COUNTIFS($A$5:$A$104,A77)&gt;1,"중복 ID",IF(AND(IF(ISNUMBER(B77),AND(B77&gt;=1,MOD(B77,1)=0),FALSE),OR(C77="A",C77="B"),OR(D77=1,D77=2),OR(H77="PASS",H77="FAIL"),OR(I77="PASS",I77="FAIL"),OR(J77="PASS",J77="FAIL"),IF(ISNUMBER(K77),AND(K77&gt;=0,MOD(K77,1)=0),FALSE),IF(ISNUMBER(L77),AND(L77&gt;=0,MOD(L77,1)=0),FALSE),IF(ISNUMBER(M77),AND(M77&gt;=0,MOD(M77,1)=0),FALSE),IF(ISNUMBER(S77),AND(S77&gt;=0,MOD(S77,1)=0),FALSE),IF(ISNUMBER(T77),AND(T77&gt;=0,MOD(T77,1)=0),FALSE),IF(ISNUMBER(P77),AND(P77&gt;=0),FALSE),IF(ISNUMBER(Q77),AND(Q77&gt;=0),FALSE),IF(ISNUMBER(W77),AND(W77&gt;=0),FALSE),IF(ISNUMBER(R77),AND(R77&gt;=0,R77&lt;360),FALSE),Y77="FIELD_MEASUREMENT"),"유효 기록","입력 확인"))))</x:f>
      </x:c>
    </x:row>
    <x:row r="78" ht="22" customHeight="1">
      <x:c r="A78" s="13"/>
      <x:c r="B78" s="15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6"/>
      <x:c r="Q78" s="16"/>
      <x:c r="R78" s="16"/>
      <x:c r="S78" s="13"/>
      <x:c r="T78" s="13"/>
      <x:c r="U78" s="13"/>
      <x:c r="V78" s="13"/>
      <x:c r="W78" s="16"/>
      <x:c r="X78" s="13"/>
      <x:c r="Y78" s="13"/>
      <x:c r="Z78" s="13"/>
      <x:c r="AA78" s="14" t="str">
        <x:f>IF(COUNTA(A78:Z78)=0,"",IF(OR(ISBLANK(A78),ISBLANK(B78),ISBLANK(C78),ISBLANK(D78),ISBLANK(E78),ISBLANK(F78),ISBLANK(G78),ISBLANK(H78),ISBLANK(I78),ISBLANK(J78),ISBLANK(K78),ISBLANK(L78),ISBLANK(M78),ISBLANK(N78),ISBLANK(O78),ISBLANK(P78),ISBLANK(Q78),ISBLANK(R78),ISBLANK(S78),ISBLANK(T78),ISBLANK(U78),ISBLANK(V78),ISBLANK(W78),ISBLANK(X78),ISBLANK(Y78)),"필수값 입력",IF(COUNTIFS($A$5:$A$104,A78)&gt;1,"중복 ID",IF(AND(IF(ISNUMBER(B78),AND(B78&gt;=1,MOD(B78,1)=0),FALSE),OR(C78="A",C78="B"),OR(D78=1,D78=2),OR(H78="PASS",H78="FAIL"),OR(I78="PASS",I78="FAIL"),OR(J78="PASS",J78="FAIL"),IF(ISNUMBER(K78),AND(K78&gt;=0,MOD(K78,1)=0),FALSE),IF(ISNUMBER(L78),AND(L78&gt;=0,MOD(L78,1)=0),FALSE),IF(ISNUMBER(M78),AND(M78&gt;=0,MOD(M78,1)=0),FALSE),IF(ISNUMBER(S78),AND(S78&gt;=0,MOD(S78,1)=0),FALSE),IF(ISNUMBER(T78),AND(T78&gt;=0,MOD(T78,1)=0),FALSE),IF(ISNUMBER(P78),AND(P78&gt;=0),FALSE),IF(ISNUMBER(Q78),AND(Q78&gt;=0),FALSE),IF(ISNUMBER(W78),AND(W78&gt;=0),FALSE),IF(ISNUMBER(R78),AND(R78&gt;=0,R78&lt;360),FALSE),Y78="FIELD_MEASUREMENT"),"유효 기록","입력 확인"))))</x:f>
      </x:c>
    </x:row>
    <x:row r="79" ht="22" customHeight="1">
      <x:c r="A79" s="13"/>
      <x:c r="B79" s="15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6"/>
      <x:c r="Q79" s="16"/>
      <x:c r="R79" s="16"/>
      <x:c r="S79" s="13"/>
      <x:c r="T79" s="13"/>
      <x:c r="U79" s="13"/>
      <x:c r="V79" s="13"/>
      <x:c r="W79" s="16"/>
      <x:c r="X79" s="13"/>
      <x:c r="Y79" s="13"/>
      <x:c r="Z79" s="13"/>
      <x:c r="AA79" s="14" t="str">
        <x:f>IF(COUNTA(A79:Z79)=0,"",IF(OR(ISBLANK(A79),ISBLANK(B79),ISBLANK(C79),ISBLANK(D79),ISBLANK(E79),ISBLANK(F79),ISBLANK(G79),ISBLANK(H79),ISBLANK(I79),ISBLANK(J79),ISBLANK(K79),ISBLANK(L79),ISBLANK(M79),ISBLANK(N79),ISBLANK(O79),ISBLANK(P79),ISBLANK(Q79),ISBLANK(R79),ISBLANK(S79),ISBLANK(T79),ISBLANK(U79),ISBLANK(V79),ISBLANK(W79),ISBLANK(X79),ISBLANK(Y79)),"필수값 입력",IF(COUNTIFS($A$5:$A$104,A79)&gt;1,"중복 ID",IF(AND(IF(ISNUMBER(B79),AND(B79&gt;=1,MOD(B79,1)=0),FALSE),OR(C79="A",C79="B"),OR(D79=1,D79=2),OR(H79="PASS",H79="FAIL"),OR(I79="PASS",I79="FAIL"),OR(J79="PASS",J79="FAIL"),IF(ISNUMBER(K79),AND(K79&gt;=0,MOD(K79,1)=0),FALSE),IF(ISNUMBER(L79),AND(L79&gt;=0,MOD(L79,1)=0),FALSE),IF(ISNUMBER(M79),AND(M79&gt;=0,MOD(M79,1)=0),FALSE),IF(ISNUMBER(S79),AND(S79&gt;=0,MOD(S79,1)=0),FALSE),IF(ISNUMBER(T79),AND(T79&gt;=0,MOD(T79,1)=0),FALSE),IF(ISNUMBER(P79),AND(P79&gt;=0),FALSE),IF(ISNUMBER(Q79),AND(Q79&gt;=0),FALSE),IF(ISNUMBER(W79),AND(W79&gt;=0),FALSE),IF(ISNUMBER(R79),AND(R79&gt;=0,R79&lt;360),FALSE),Y79="FIELD_MEASUREMENT"),"유효 기록","입력 확인"))))</x:f>
      </x:c>
    </x:row>
    <x:row r="80" ht="22" customHeight="1">
      <x:c r="A80" s="13"/>
      <x:c r="B80" s="15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6"/>
      <x:c r="Q80" s="16"/>
      <x:c r="R80" s="16"/>
      <x:c r="S80" s="13"/>
      <x:c r="T80" s="13"/>
      <x:c r="U80" s="13"/>
      <x:c r="V80" s="13"/>
      <x:c r="W80" s="16"/>
      <x:c r="X80" s="13"/>
      <x:c r="Y80" s="13"/>
      <x:c r="Z80" s="13"/>
      <x:c r="AA80" s="14" t="str">
        <x:f>IF(COUNTA(A80:Z80)=0,"",IF(OR(ISBLANK(A80),ISBLANK(B80),ISBLANK(C80),ISBLANK(D80),ISBLANK(E80),ISBLANK(F80),ISBLANK(G80),ISBLANK(H80),ISBLANK(I80),ISBLANK(J80),ISBLANK(K80),ISBLANK(L80),ISBLANK(M80),ISBLANK(N80),ISBLANK(O80),ISBLANK(P80),ISBLANK(Q80),ISBLANK(R80),ISBLANK(S80),ISBLANK(T80),ISBLANK(U80),ISBLANK(V80),ISBLANK(W80),ISBLANK(X80),ISBLANK(Y80)),"필수값 입력",IF(COUNTIFS($A$5:$A$104,A80)&gt;1,"중복 ID",IF(AND(IF(ISNUMBER(B80),AND(B80&gt;=1,MOD(B80,1)=0),FALSE),OR(C80="A",C80="B"),OR(D80=1,D80=2),OR(H80="PASS",H80="FAIL"),OR(I80="PASS",I80="FAIL"),OR(J80="PASS",J80="FAIL"),IF(ISNUMBER(K80),AND(K80&gt;=0,MOD(K80,1)=0),FALSE),IF(ISNUMBER(L80),AND(L80&gt;=0,MOD(L80,1)=0),FALSE),IF(ISNUMBER(M80),AND(M80&gt;=0,MOD(M80,1)=0),FALSE),IF(ISNUMBER(S80),AND(S80&gt;=0,MOD(S80,1)=0),FALSE),IF(ISNUMBER(T80),AND(T80&gt;=0,MOD(T80,1)=0),FALSE),IF(ISNUMBER(P80),AND(P80&gt;=0),FALSE),IF(ISNUMBER(Q80),AND(Q80&gt;=0),FALSE),IF(ISNUMBER(W80),AND(W80&gt;=0),FALSE),IF(ISNUMBER(R80),AND(R80&gt;=0,R80&lt;360),FALSE),Y80="FIELD_MEASUREMENT"),"유효 기록","입력 확인"))))</x:f>
      </x:c>
    </x:row>
    <x:row r="81" ht="22" customHeight="1">
      <x:c r="A81" s="13"/>
      <x:c r="B81" s="15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6"/>
      <x:c r="Q81" s="16"/>
      <x:c r="R81" s="16"/>
      <x:c r="S81" s="13"/>
      <x:c r="T81" s="13"/>
      <x:c r="U81" s="13"/>
      <x:c r="V81" s="13"/>
      <x:c r="W81" s="16"/>
      <x:c r="X81" s="13"/>
      <x:c r="Y81" s="13"/>
      <x:c r="Z81" s="13"/>
      <x:c r="AA81" s="14" t="str">
        <x:f>IF(COUNTA(A81:Z81)=0,"",IF(OR(ISBLANK(A81),ISBLANK(B81),ISBLANK(C81),ISBLANK(D81),ISBLANK(E81),ISBLANK(F81),ISBLANK(G81),ISBLANK(H81),ISBLANK(I81),ISBLANK(J81),ISBLANK(K81),ISBLANK(L81),ISBLANK(M81),ISBLANK(N81),ISBLANK(O81),ISBLANK(P81),ISBLANK(Q81),ISBLANK(R81),ISBLANK(S81),ISBLANK(T81),ISBLANK(U81),ISBLANK(V81),ISBLANK(W81),ISBLANK(X81),ISBLANK(Y81)),"필수값 입력",IF(COUNTIFS($A$5:$A$104,A81)&gt;1,"중복 ID",IF(AND(IF(ISNUMBER(B81),AND(B81&gt;=1,MOD(B81,1)=0),FALSE),OR(C81="A",C81="B"),OR(D81=1,D81=2),OR(H81="PASS",H81="FAIL"),OR(I81="PASS",I81="FAIL"),OR(J81="PASS",J81="FAIL"),IF(ISNUMBER(K81),AND(K81&gt;=0,MOD(K81,1)=0),FALSE),IF(ISNUMBER(L81),AND(L81&gt;=0,MOD(L81,1)=0),FALSE),IF(ISNUMBER(M81),AND(M81&gt;=0,MOD(M81,1)=0),FALSE),IF(ISNUMBER(S81),AND(S81&gt;=0,MOD(S81,1)=0),FALSE),IF(ISNUMBER(T81),AND(T81&gt;=0,MOD(T81,1)=0),FALSE),IF(ISNUMBER(P81),AND(P81&gt;=0),FALSE),IF(ISNUMBER(Q81),AND(Q81&gt;=0),FALSE),IF(ISNUMBER(W81),AND(W81&gt;=0),FALSE),IF(ISNUMBER(R81),AND(R81&gt;=0,R81&lt;360),FALSE),Y81="FIELD_MEASUREMENT"),"유효 기록","입력 확인"))))</x:f>
      </x:c>
    </x:row>
    <x:row r="82" ht="22" customHeight="1">
      <x:c r="A82" s="13"/>
      <x:c r="B82" s="15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6"/>
      <x:c r="Q82" s="16"/>
      <x:c r="R82" s="16"/>
      <x:c r="S82" s="13"/>
      <x:c r="T82" s="13"/>
      <x:c r="U82" s="13"/>
      <x:c r="V82" s="13"/>
      <x:c r="W82" s="16"/>
      <x:c r="X82" s="13"/>
      <x:c r="Y82" s="13"/>
      <x:c r="Z82" s="13"/>
      <x:c r="AA82" s="14" t="str">
        <x:f>IF(COUNTA(A82:Z82)=0,"",IF(OR(ISBLANK(A82),ISBLANK(B82),ISBLANK(C82),ISBLANK(D82),ISBLANK(E82),ISBLANK(F82),ISBLANK(G82),ISBLANK(H82),ISBLANK(I82),ISBLANK(J82),ISBLANK(K82),ISBLANK(L82),ISBLANK(M82),ISBLANK(N82),ISBLANK(O82),ISBLANK(P82),ISBLANK(Q82),ISBLANK(R82),ISBLANK(S82),ISBLANK(T82),ISBLANK(U82),ISBLANK(V82),ISBLANK(W82),ISBLANK(X82),ISBLANK(Y82)),"필수값 입력",IF(COUNTIFS($A$5:$A$104,A82)&gt;1,"중복 ID",IF(AND(IF(ISNUMBER(B82),AND(B82&gt;=1,MOD(B82,1)=0),FALSE),OR(C82="A",C82="B"),OR(D82=1,D82=2),OR(H82="PASS",H82="FAIL"),OR(I82="PASS",I82="FAIL"),OR(J82="PASS",J82="FAIL"),IF(ISNUMBER(K82),AND(K82&gt;=0,MOD(K82,1)=0),FALSE),IF(ISNUMBER(L82),AND(L82&gt;=0,MOD(L82,1)=0),FALSE),IF(ISNUMBER(M82),AND(M82&gt;=0,MOD(M82,1)=0),FALSE),IF(ISNUMBER(S82),AND(S82&gt;=0,MOD(S82,1)=0),FALSE),IF(ISNUMBER(T82),AND(T82&gt;=0,MOD(T82,1)=0),FALSE),IF(ISNUMBER(P82),AND(P82&gt;=0),FALSE),IF(ISNUMBER(Q82),AND(Q82&gt;=0),FALSE),IF(ISNUMBER(W82),AND(W82&gt;=0),FALSE),IF(ISNUMBER(R82),AND(R82&gt;=0,R82&lt;360),FALSE),Y82="FIELD_MEASUREMENT"),"유효 기록","입력 확인"))))</x:f>
      </x:c>
    </x:row>
    <x:row r="83" ht="22" customHeight="1">
      <x:c r="A83" s="13"/>
      <x:c r="B83" s="15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6"/>
      <x:c r="Q83" s="16"/>
      <x:c r="R83" s="16"/>
      <x:c r="S83" s="13"/>
      <x:c r="T83" s="13"/>
      <x:c r="U83" s="13"/>
      <x:c r="V83" s="13"/>
      <x:c r="W83" s="16"/>
      <x:c r="X83" s="13"/>
      <x:c r="Y83" s="13"/>
      <x:c r="Z83" s="13"/>
      <x:c r="AA83" s="14" t="str">
        <x:f>IF(COUNTA(A83:Z83)=0,"",IF(OR(ISBLANK(A83),ISBLANK(B83),ISBLANK(C83),ISBLANK(D83),ISBLANK(E83),ISBLANK(F83),ISBLANK(G83),ISBLANK(H83),ISBLANK(I83),ISBLANK(J83),ISBLANK(K83),ISBLANK(L83),ISBLANK(M83),ISBLANK(N83),ISBLANK(O83),ISBLANK(P83),ISBLANK(Q83),ISBLANK(R83),ISBLANK(S83),ISBLANK(T83),ISBLANK(U83),ISBLANK(V83),ISBLANK(W83),ISBLANK(X83),ISBLANK(Y83)),"필수값 입력",IF(COUNTIFS($A$5:$A$104,A83)&gt;1,"중복 ID",IF(AND(IF(ISNUMBER(B83),AND(B83&gt;=1,MOD(B83,1)=0),FALSE),OR(C83="A",C83="B"),OR(D83=1,D83=2),OR(H83="PASS",H83="FAIL"),OR(I83="PASS",I83="FAIL"),OR(J83="PASS",J83="FAIL"),IF(ISNUMBER(K83),AND(K83&gt;=0,MOD(K83,1)=0),FALSE),IF(ISNUMBER(L83),AND(L83&gt;=0,MOD(L83,1)=0),FALSE),IF(ISNUMBER(M83),AND(M83&gt;=0,MOD(M83,1)=0),FALSE),IF(ISNUMBER(S83),AND(S83&gt;=0,MOD(S83,1)=0),FALSE),IF(ISNUMBER(T83),AND(T83&gt;=0,MOD(T83,1)=0),FALSE),IF(ISNUMBER(P83),AND(P83&gt;=0),FALSE),IF(ISNUMBER(Q83),AND(Q83&gt;=0),FALSE),IF(ISNUMBER(W83),AND(W83&gt;=0),FALSE),IF(ISNUMBER(R83),AND(R83&gt;=0,R83&lt;360),FALSE),Y83="FIELD_MEASUREMENT"),"유효 기록","입력 확인"))))</x:f>
      </x:c>
    </x:row>
    <x:row r="84" ht="22" customHeight="1">
      <x:c r="A84" s="13"/>
      <x:c r="B84" s="15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6"/>
      <x:c r="Q84" s="16"/>
      <x:c r="R84" s="16"/>
      <x:c r="S84" s="13"/>
      <x:c r="T84" s="13"/>
      <x:c r="U84" s="13"/>
      <x:c r="V84" s="13"/>
      <x:c r="W84" s="16"/>
      <x:c r="X84" s="13"/>
      <x:c r="Y84" s="13"/>
      <x:c r="Z84" s="13"/>
      <x:c r="AA84" s="14" t="str">
        <x:f>IF(COUNTA(A84:Z84)=0,"",IF(OR(ISBLANK(A84),ISBLANK(B84),ISBLANK(C84),ISBLANK(D84),ISBLANK(E84),ISBLANK(F84),ISBLANK(G84),ISBLANK(H84),ISBLANK(I84),ISBLANK(J84),ISBLANK(K84),ISBLANK(L84),ISBLANK(M84),ISBLANK(N84),ISBLANK(O84),ISBLANK(P84),ISBLANK(Q84),ISBLANK(R84),ISBLANK(S84),ISBLANK(T84),ISBLANK(U84),ISBLANK(V84),ISBLANK(W84),ISBLANK(X84),ISBLANK(Y84)),"필수값 입력",IF(COUNTIFS($A$5:$A$104,A84)&gt;1,"중복 ID",IF(AND(IF(ISNUMBER(B84),AND(B84&gt;=1,MOD(B84,1)=0),FALSE),OR(C84="A",C84="B"),OR(D84=1,D84=2),OR(H84="PASS",H84="FAIL"),OR(I84="PASS",I84="FAIL"),OR(J84="PASS",J84="FAIL"),IF(ISNUMBER(K84),AND(K84&gt;=0,MOD(K84,1)=0),FALSE),IF(ISNUMBER(L84),AND(L84&gt;=0,MOD(L84,1)=0),FALSE),IF(ISNUMBER(M84),AND(M84&gt;=0,MOD(M84,1)=0),FALSE),IF(ISNUMBER(S84),AND(S84&gt;=0,MOD(S84,1)=0),FALSE),IF(ISNUMBER(T84),AND(T84&gt;=0,MOD(T84,1)=0),FALSE),IF(ISNUMBER(P84),AND(P84&gt;=0),FALSE),IF(ISNUMBER(Q84),AND(Q84&gt;=0),FALSE),IF(ISNUMBER(W84),AND(W84&gt;=0),FALSE),IF(ISNUMBER(R84),AND(R84&gt;=0,R84&lt;360),FALSE),Y84="FIELD_MEASUREMENT"),"유효 기록","입력 확인"))))</x:f>
      </x:c>
    </x:row>
    <x:row r="85" ht="22" customHeight="1">
      <x:c r="A85" s="13"/>
      <x:c r="B85" s="15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6"/>
      <x:c r="Q85" s="16"/>
      <x:c r="R85" s="16"/>
      <x:c r="S85" s="13"/>
      <x:c r="T85" s="13"/>
      <x:c r="U85" s="13"/>
      <x:c r="V85" s="13"/>
      <x:c r="W85" s="16"/>
      <x:c r="X85" s="13"/>
      <x:c r="Y85" s="13"/>
      <x:c r="Z85" s="13"/>
      <x:c r="AA85" s="14" t="str">
        <x:f>IF(COUNTA(A85:Z85)=0,"",IF(OR(ISBLANK(A85),ISBLANK(B85),ISBLANK(C85),ISBLANK(D85),ISBLANK(E85),ISBLANK(F85),ISBLANK(G85),ISBLANK(H85),ISBLANK(I85),ISBLANK(J85),ISBLANK(K85),ISBLANK(L85),ISBLANK(M85),ISBLANK(N85),ISBLANK(O85),ISBLANK(P85),ISBLANK(Q85),ISBLANK(R85),ISBLANK(S85),ISBLANK(T85),ISBLANK(U85),ISBLANK(V85),ISBLANK(W85),ISBLANK(X85),ISBLANK(Y85)),"필수값 입력",IF(COUNTIFS($A$5:$A$104,A85)&gt;1,"중복 ID",IF(AND(IF(ISNUMBER(B85),AND(B85&gt;=1,MOD(B85,1)=0),FALSE),OR(C85="A",C85="B"),OR(D85=1,D85=2),OR(H85="PASS",H85="FAIL"),OR(I85="PASS",I85="FAIL"),OR(J85="PASS",J85="FAIL"),IF(ISNUMBER(K85),AND(K85&gt;=0,MOD(K85,1)=0),FALSE),IF(ISNUMBER(L85),AND(L85&gt;=0,MOD(L85,1)=0),FALSE),IF(ISNUMBER(M85),AND(M85&gt;=0,MOD(M85,1)=0),FALSE),IF(ISNUMBER(S85),AND(S85&gt;=0,MOD(S85,1)=0),FALSE),IF(ISNUMBER(T85),AND(T85&gt;=0,MOD(T85,1)=0),FALSE),IF(ISNUMBER(P85),AND(P85&gt;=0),FALSE),IF(ISNUMBER(Q85),AND(Q85&gt;=0),FALSE),IF(ISNUMBER(W85),AND(W85&gt;=0),FALSE),IF(ISNUMBER(R85),AND(R85&gt;=0,R85&lt;360),FALSE),Y85="FIELD_MEASUREMENT"),"유효 기록","입력 확인"))))</x:f>
      </x:c>
    </x:row>
    <x:row r="86" ht="22" customHeight="1">
      <x:c r="A86" s="13"/>
      <x:c r="B86" s="15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6"/>
      <x:c r="Q86" s="16"/>
      <x:c r="R86" s="16"/>
      <x:c r="S86" s="13"/>
      <x:c r="T86" s="13"/>
      <x:c r="U86" s="13"/>
      <x:c r="V86" s="13"/>
      <x:c r="W86" s="16"/>
      <x:c r="X86" s="13"/>
      <x:c r="Y86" s="13"/>
      <x:c r="Z86" s="13"/>
      <x:c r="AA86" s="14" t="str">
        <x:f>IF(COUNTA(A86:Z86)=0,"",IF(OR(ISBLANK(A86),ISBLANK(B86),ISBLANK(C86),ISBLANK(D86),ISBLANK(E86),ISBLANK(F86),ISBLANK(G86),ISBLANK(H86),ISBLANK(I86),ISBLANK(J86),ISBLANK(K86),ISBLANK(L86),ISBLANK(M86),ISBLANK(N86),ISBLANK(O86),ISBLANK(P86),ISBLANK(Q86),ISBLANK(R86),ISBLANK(S86),ISBLANK(T86),ISBLANK(U86),ISBLANK(V86),ISBLANK(W86),ISBLANK(X86),ISBLANK(Y86)),"필수값 입력",IF(COUNTIFS($A$5:$A$104,A86)&gt;1,"중복 ID",IF(AND(IF(ISNUMBER(B86),AND(B86&gt;=1,MOD(B86,1)=0),FALSE),OR(C86="A",C86="B"),OR(D86=1,D86=2),OR(H86="PASS",H86="FAIL"),OR(I86="PASS",I86="FAIL"),OR(J86="PASS",J86="FAIL"),IF(ISNUMBER(K86),AND(K86&gt;=0,MOD(K86,1)=0),FALSE),IF(ISNUMBER(L86),AND(L86&gt;=0,MOD(L86,1)=0),FALSE),IF(ISNUMBER(M86),AND(M86&gt;=0,MOD(M86,1)=0),FALSE),IF(ISNUMBER(S86),AND(S86&gt;=0,MOD(S86,1)=0),FALSE),IF(ISNUMBER(T86),AND(T86&gt;=0,MOD(T86,1)=0),FALSE),IF(ISNUMBER(P86),AND(P86&gt;=0),FALSE),IF(ISNUMBER(Q86),AND(Q86&gt;=0),FALSE),IF(ISNUMBER(W86),AND(W86&gt;=0),FALSE),IF(ISNUMBER(R86),AND(R86&gt;=0,R86&lt;360),FALSE),Y86="FIELD_MEASUREMENT"),"유효 기록","입력 확인"))))</x:f>
      </x:c>
    </x:row>
    <x:row r="87" ht="22" customHeight="1">
      <x:c r="A87" s="13"/>
      <x:c r="B87" s="15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6"/>
      <x:c r="Q87" s="16"/>
      <x:c r="R87" s="16"/>
      <x:c r="S87" s="13"/>
      <x:c r="T87" s="13"/>
      <x:c r="U87" s="13"/>
      <x:c r="V87" s="13"/>
      <x:c r="W87" s="16"/>
      <x:c r="X87" s="13"/>
      <x:c r="Y87" s="13"/>
      <x:c r="Z87" s="13"/>
      <x:c r="AA87" s="14" t="str">
        <x:f>IF(COUNTA(A87:Z87)=0,"",IF(OR(ISBLANK(A87),ISBLANK(B87),ISBLANK(C87),ISBLANK(D87),ISBLANK(E87),ISBLANK(F87),ISBLANK(G87),ISBLANK(H87),ISBLANK(I87),ISBLANK(J87),ISBLANK(K87),ISBLANK(L87),ISBLANK(M87),ISBLANK(N87),ISBLANK(O87),ISBLANK(P87),ISBLANK(Q87),ISBLANK(R87),ISBLANK(S87),ISBLANK(T87),ISBLANK(U87),ISBLANK(V87),ISBLANK(W87),ISBLANK(X87),ISBLANK(Y87)),"필수값 입력",IF(COUNTIFS($A$5:$A$104,A87)&gt;1,"중복 ID",IF(AND(IF(ISNUMBER(B87),AND(B87&gt;=1,MOD(B87,1)=0),FALSE),OR(C87="A",C87="B"),OR(D87=1,D87=2),OR(H87="PASS",H87="FAIL"),OR(I87="PASS",I87="FAIL"),OR(J87="PASS",J87="FAIL"),IF(ISNUMBER(K87),AND(K87&gt;=0,MOD(K87,1)=0),FALSE),IF(ISNUMBER(L87),AND(L87&gt;=0,MOD(L87,1)=0),FALSE),IF(ISNUMBER(M87),AND(M87&gt;=0,MOD(M87,1)=0),FALSE),IF(ISNUMBER(S87),AND(S87&gt;=0,MOD(S87,1)=0),FALSE),IF(ISNUMBER(T87),AND(T87&gt;=0,MOD(T87,1)=0),FALSE),IF(ISNUMBER(P87),AND(P87&gt;=0),FALSE),IF(ISNUMBER(Q87),AND(Q87&gt;=0),FALSE),IF(ISNUMBER(W87),AND(W87&gt;=0),FALSE),IF(ISNUMBER(R87),AND(R87&gt;=0,R87&lt;360),FALSE),Y87="FIELD_MEASUREMENT"),"유효 기록","입력 확인"))))</x:f>
      </x:c>
    </x:row>
    <x:row r="88" ht="22" customHeight="1">
      <x:c r="A88" s="13"/>
      <x:c r="B88" s="15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6"/>
      <x:c r="Q88" s="16"/>
      <x:c r="R88" s="16"/>
      <x:c r="S88" s="13"/>
      <x:c r="T88" s="13"/>
      <x:c r="U88" s="13"/>
      <x:c r="V88" s="13"/>
      <x:c r="W88" s="16"/>
      <x:c r="X88" s="13"/>
      <x:c r="Y88" s="13"/>
      <x:c r="Z88" s="13"/>
      <x:c r="AA88" s="14" t="str">
        <x:f>IF(COUNTA(A88:Z88)=0,"",IF(OR(ISBLANK(A88),ISBLANK(B88),ISBLANK(C88),ISBLANK(D88),ISBLANK(E88),ISBLANK(F88),ISBLANK(G88),ISBLANK(H88),ISBLANK(I88),ISBLANK(J88),ISBLANK(K88),ISBLANK(L88),ISBLANK(M88),ISBLANK(N88),ISBLANK(O88),ISBLANK(P88),ISBLANK(Q88),ISBLANK(R88),ISBLANK(S88),ISBLANK(T88),ISBLANK(U88),ISBLANK(V88),ISBLANK(W88),ISBLANK(X88),ISBLANK(Y88)),"필수값 입력",IF(COUNTIFS($A$5:$A$104,A88)&gt;1,"중복 ID",IF(AND(IF(ISNUMBER(B88),AND(B88&gt;=1,MOD(B88,1)=0),FALSE),OR(C88="A",C88="B"),OR(D88=1,D88=2),OR(H88="PASS",H88="FAIL"),OR(I88="PASS",I88="FAIL"),OR(J88="PASS",J88="FAIL"),IF(ISNUMBER(K88),AND(K88&gt;=0,MOD(K88,1)=0),FALSE),IF(ISNUMBER(L88),AND(L88&gt;=0,MOD(L88,1)=0),FALSE),IF(ISNUMBER(M88),AND(M88&gt;=0,MOD(M88,1)=0),FALSE),IF(ISNUMBER(S88),AND(S88&gt;=0,MOD(S88,1)=0),FALSE),IF(ISNUMBER(T88),AND(T88&gt;=0,MOD(T88,1)=0),FALSE),IF(ISNUMBER(P88),AND(P88&gt;=0),FALSE),IF(ISNUMBER(Q88),AND(Q88&gt;=0),FALSE),IF(ISNUMBER(W88),AND(W88&gt;=0),FALSE),IF(ISNUMBER(R88),AND(R88&gt;=0,R88&lt;360),FALSE),Y88="FIELD_MEASUREMENT"),"유효 기록","입력 확인"))))</x:f>
      </x:c>
    </x:row>
    <x:row r="89" ht="22" customHeight="1">
      <x:c r="A89" s="13"/>
      <x:c r="B89" s="15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6"/>
      <x:c r="Q89" s="16"/>
      <x:c r="R89" s="16"/>
      <x:c r="S89" s="13"/>
      <x:c r="T89" s="13"/>
      <x:c r="U89" s="13"/>
      <x:c r="V89" s="13"/>
      <x:c r="W89" s="16"/>
      <x:c r="X89" s="13"/>
      <x:c r="Y89" s="13"/>
      <x:c r="Z89" s="13"/>
      <x:c r="AA89" s="14" t="str">
        <x:f>IF(COUNTA(A89:Z89)=0,"",IF(OR(ISBLANK(A89),ISBLANK(B89),ISBLANK(C89),ISBLANK(D89),ISBLANK(E89),ISBLANK(F89),ISBLANK(G89),ISBLANK(H89),ISBLANK(I89),ISBLANK(J89),ISBLANK(K89),ISBLANK(L89),ISBLANK(M89),ISBLANK(N89),ISBLANK(O89),ISBLANK(P89),ISBLANK(Q89),ISBLANK(R89),ISBLANK(S89),ISBLANK(T89),ISBLANK(U89),ISBLANK(V89),ISBLANK(W89),ISBLANK(X89),ISBLANK(Y89)),"필수값 입력",IF(COUNTIFS($A$5:$A$104,A89)&gt;1,"중복 ID",IF(AND(IF(ISNUMBER(B89),AND(B89&gt;=1,MOD(B89,1)=0),FALSE),OR(C89="A",C89="B"),OR(D89=1,D89=2),OR(H89="PASS",H89="FAIL"),OR(I89="PASS",I89="FAIL"),OR(J89="PASS",J89="FAIL"),IF(ISNUMBER(K89),AND(K89&gt;=0,MOD(K89,1)=0),FALSE),IF(ISNUMBER(L89),AND(L89&gt;=0,MOD(L89,1)=0),FALSE),IF(ISNUMBER(M89),AND(M89&gt;=0,MOD(M89,1)=0),FALSE),IF(ISNUMBER(S89),AND(S89&gt;=0,MOD(S89,1)=0),FALSE),IF(ISNUMBER(T89),AND(T89&gt;=0,MOD(T89,1)=0),FALSE),IF(ISNUMBER(P89),AND(P89&gt;=0),FALSE),IF(ISNUMBER(Q89),AND(Q89&gt;=0),FALSE),IF(ISNUMBER(W89),AND(W89&gt;=0),FALSE),IF(ISNUMBER(R89),AND(R89&gt;=0,R89&lt;360),FALSE),Y89="FIELD_MEASUREMENT"),"유효 기록","입력 확인"))))</x:f>
      </x:c>
    </x:row>
    <x:row r="90" ht="22" customHeight="1">
      <x:c r="A90" s="13"/>
      <x:c r="B90" s="15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6"/>
      <x:c r="Q90" s="16"/>
      <x:c r="R90" s="16"/>
      <x:c r="S90" s="13"/>
      <x:c r="T90" s="13"/>
      <x:c r="U90" s="13"/>
      <x:c r="V90" s="13"/>
      <x:c r="W90" s="16"/>
      <x:c r="X90" s="13"/>
      <x:c r="Y90" s="13"/>
      <x:c r="Z90" s="13"/>
      <x:c r="AA90" s="14" t="str">
        <x:f>IF(COUNTA(A90:Z90)=0,"",IF(OR(ISBLANK(A90),ISBLANK(B90),ISBLANK(C90),ISBLANK(D90),ISBLANK(E90),ISBLANK(F90),ISBLANK(G90),ISBLANK(H90),ISBLANK(I90),ISBLANK(J90),ISBLANK(K90),ISBLANK(L90),ISBLANK(M90),ISBLANK(N90),ISBLANK(O90),ISBLANK(P90),ISBLANK(Q90),ISBLANK(R90),ISBLANK(S90),ISBLANK(T90),ISBLANK(U90),ISBLANK(V90),ISBLANK(W90),ISBLANK(X90),ISBLANK(Y90)),"필수값 입력",IF(COUNTIFS($A$5:$A$104,A90)&gt;1,"중복 ID",IF(AND(IF(ISNUMBER(B90),AND(B90&gt;=1,MOD(B90,1)=0),FALSE),OR(C90="A",C90="B"),OR(D90=1,D90=2),OR(H90="PASS",H90="FAIL"),OR(I90="PASS",I90="FAIL"),OR(J90="PASS",J90="FAIL"),IF(ISNUMBER(K90),AND(K90&gt;=0,MOD(K90,1)=0),FALSE),IF(ISNUMBER(L90),AND(L90&gt;=0,MOD(L90,1)=0),FALSE),IF(ISNUMBER(M90),AND(M90&gt;=0,MOD(M90,1)=0),FALSE),IF(ISNUMBER(S90),AND(S90&gt;=0,MOD(S90,1)=0),FALSE),IF(ISNUMBER(T90),AND(T90&gt;=0,MOD(T90,1)=0),FALSE),IF(ISNUMBER(P90),AND(P90&gt;=0),FALSE),IF(ISNUMBER(Q90),AND(Q90&gt;=0),FALSE),IF(ISNUMBER(W90),AND(W90&gt;=0),FALSE),IF(ISNUMBER(R90),AND(R90&gt;=0,R90&lt;360),FALSE),Y90="FIELD_MEASUREMENT"),"유효 기록","입력 확인"))))</x:f>
      </x:c>
    </x:row>
    <x:row r="91" ht="22" customHeight="1">
      <x:c r="A91" s="13"/>
      <x:c r="B91" s="15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6"/>
      <x:c r="Q91" s="16"/>
      <x:c r="R91" s="16"/>
      <x:c r="S91" s="13"/>
      <x:c r="T91" s="13"/>
      <x:c r="U91" s="13"/>
      <x:c r="V91" s="13"/>
      <x:c r="W91" s="16"/>
      <x:c r="X91" s="13"/>
      <x:c r="Y91" s="13"/>
      <x:c r="Z91" s="13"/>
      <x:c r="AA91" s="14" t="str">
        <x:f>IF(COUNTA(A91:Z91)=0,"",IF(OR(ISBLANK(A91),ISBLANK(B91),ISBLANK(C91),ISBLANK(D91),ISBLANK(E91),ISBLANK(F91),ISBLANK(G91),ISBLANK(H91),ISBLANK(I91),ISBLANK(J91),ISBLANK(K91),ISBLANK(L91),ISBLANK(M91),ISBLANK(N91),ISBLANK(O91),ISBLANK(P91),ISBLANK(Q91),ISBLANK(R91),ISBLANK(S91),ISBLANK(T91),ISBLANK(U91),ISBLANK(V91),ISBLANK(W91),ISBLANK(X91),ISBLANK(Y91)),"필수값 입력",IF(COUNTIFS($A$5:$A$104,A91)&gt;1,"중복 ID",IF(AND(IF(ISNUMBER(B91),AND(B91&gt;=1,MOD(B91,1)=0),FALSE),OR(C91="A",C91="B"),OR(D91=1,D91=2),OR(H91="PASS",H91="FAIL"),OR(I91="PASS",I91="FAIL"),OR(J91="PASS",J91="FAIL"),IF(ISNUMBER(K91),AND(K91&gt;=0,MOD(K91,1)=0),FALSE),IF(ISNUMBER(L91),AND(L91&gt;=0,MOD(L91,1)=0),FALSE),IF(ISNUMBER(M91),AND(M91&gt;=0,MOD(M91,1)=0),FALSE),IF(ISNUMBER(S91),AND(S91&gt;=0,MOD(S91,1)=0),FALSE),IF(ISNUMBER(T91),AND(T91&gt;=0,MOD(T91,1)=0),FALSE),IF(ISNUMBER(P91),AND(P91&gt;=0),FALSE),IF(ISNUMBER(Q91),AND(Q91&gt;=0),FALSE),IF(ISNUMBER(W91),AND(W91&gt;=0),FALSE),IF(ISNUMBER(R91),AND(R91&gt;=0,R91&lt;360),FALSE),Y91="FIELD_MEASUREMENT"),"유효 기록","입력 확인"))))</x:f>
      </x:c>
    </x:row>
    <x:row r="92" ht="22" customHeight="1">
      <x:c r="A92" s="13"/>
      <x:c r="B92" s="15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6"/>
      <x:c r="Q92" s="16"/>
      <x:c r="R92" s="16"/>
      <x:c r="S92" s="13"/>
      <x:c r="T92" s="13"/>
      <x:c r="U92" s="13"/>
      <x:c r="V92" s="13"/>
      <x:c r="W92" s="16"/>
      <x:c r="X92" s="13"/>
      <x:c r="Y92" s="13"/>
      <x:c r="Z92" s="13"/>
      <x:c r="AA92" s="14" t="str">
        <x:f>IF(COUNTA(A92:Z92)=0,"",IF(OR(ISBLANK(A92),ISBLANK(B92),ISBLANK(C92),ISBLANK(D92),ISBLANK(E92),ISBLANK(F92),ISBLANK(G92),ISBLANK(H92),ISBLANK(I92),ISBLANK(J92),ISBLANK(K92),ISBLANK(L92),ISBLANK(M92),ISBLANK(N92),ISBLANK(O92),ISBLANK(P92),ISBLANK(Q92),ISBLANK(R92),ISBLANK(S92),ISBLANK(T92),ISBLANK(U92),ISBLANK(V92),ISBLANK(W92),ISBLANK(X92),ISBLANK(Y92)),"필수값 입력",IF(COUNTIFS($A$5:$A$104,A92)&gt;1,"중복 ID",IF(AND(IF(ISNUMBER(B92),AND(B92&gt;=1,MOD(B92,1)=0),FALSE),OR(C92="A",C92="B"),OR(D92=1,D92=2),OR(H92="PASS",H92="FAIL"),OR(I92="PASS",I92="FAIL"),OR(J92="PASS",J92="FAIL"),IF(ISNUMBER(K92),AND(K92&gt;=0,MOD(K92,1)=0),FALSE),IF(ISNUMBER(L92),AND(L92&gt;=0,MOD(L92,1)=0),FALSE),IF(ISNUMBER(M92),AND(M92&gt;=0,MOD(M92,1)=0),FALSE),IF(ISNUMBER(S92),AND(S92&gt;=0,MOD(S92,1)=0),FALSE),IF(ISNUMBER(T92),AND(T92&gt;=0,MOD(T92,1)=0),FALSE),IF(ISNUMBER(P92),AND(P92&gt;=0),FALSE),IF(ISNUMBER(Q92),AND(Q92&gt;=0),FALSE),IF(ISNUMBER(W92),AND(W92&gt;=0),FALSE),IF(ISNUMBER(R92),AND(R92&gt;=0,R92&lt;360),FALSE),Y92="FIELD_MEASUREMENT"),"유효 기록","입력 확인"))))</x:f>
      </x:c>
    </x:row>
    <x:row r="93" ht="22" customHeight="1">
      <x:c r="A93" s="13"/>
      <x:c r="B93" s="15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6"/>
      <x:c r="Q93" s="16"/>
      <x:c r="R93" s="16"/>
      <x:c r="S93" s="13"/>
      <x:c r="T93" s="13"/>
      <x:c r="U93" s="13"/>
      <x:c r="V93" s="13"/>
      <x:c r="W93" s="16"/>
      <x:c r="X93" s="13"/>
      <x:c r="Y93" s="13"/>
      <x:c r="Z93" s="13"/>
      <x:c r="AA93" s="14" t="str">
        <x:f>IF(COUNTA(A93:Z93)=0,"",IF(OR(ISBLANK(A93),ISBLANK(B93),ISBLANK(C93),ISBLANK(D93),ISBLANK(E93),ISBLANK(F93),ISBLANK(G93),ISBLANK(H93),ISBLANK(I93),ISBLANK(J93),ISBLANK(K93),ISBLANK(L93),ISBLANK(M93),ISBLANK(N93),ISBLANK(O93),ISBLANK(P93),ISBLANK(Q93),ISBLANK(R93),ISBLANK(S93),ISBLANK(T93),ISBLANK(U93),ISBLANK(V93),ISBLANK(W93),ISBLANK(X93),ISBLANK(Y93)),"필수값 입력",IF(COUNTIFS($A$5:$A$104,A93)&gt;1,"중복 ID",IF(AND(IF(ISNUMBER(B93),AND(B93&gt;=1,MOD(B93,1)=0),FALSE),OR(C93="A",C93="B"),OR(D93=1,D93=2),OR(H93="PASS",H93="FAIL"),OR(I93="PASS",I93="FAIL"),OR(J93="PASS",J93="FAIL"),IF(ISNUMBER(K93),AND(K93&gt;=0,MOD(K93,1)=0),FALSE),IF(ISNUMBER(L93),AND(L93&gt;=0,MOD(L93,1)=0),FALSE),IF(ISNUMBER(M93),AND(M93&gt;=0,MOD(M93,1)=0),FALSE),IF(ISNUMBER(S93),AND(S93&gt;=0,MOD(S93,1)=0),FALSE),IF(ISNUMBER(T93),AND(T93&gt;=0,MOD(T93,1)=0),FALSE),IF(ISNUMBER(P93),AND(P93&gt;=0),FALSE),IF(ISNUMBER(Q93),AND(Q93&gt;=0),FALSE),IF(ISNUMBER(W93),AND(W93&gt;=0),FALSE),IF(ISNUMBER(R93),AND(R93&gt;=0,R93&lt;360),FALSE),Y93="FIELD_MEASUREMENT"),"유효 기록","입력 확인"))))</x:f>
      </x:c>
    </x:row>
    <x:row r="94" ht="22" customHeight="1">
      <x:c r="A94" s="13"/>
      <x:c r="B94" s="15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6"/>
      <x:c r="Q94" s="16"/>
      <x:c r="R94" s="16"/>
      <x:c r="S94" s="13"/>
      <x:c r="T94" s="13"/>
      <x:c r="U94" s="13"/>
      <x:c r="V94" s="13"/>
      <x:c r="W94" s="16"/>
      <x:c r="X94" s="13"/>
      <x:c r="Y94" s="13"/>
      <x:c r="Z94" s="13"/>
      <x:c r="AA94" s="14" t="str">
        <x:f>IF(COUNTA(A94:Z94)=0,"",IF(OR(ISBLANK(A94),ISBLANK(B94),ISBLANK(C94),ISBLANK(D94),ISBLANK(E94),ISBLANK(F94),ISBLANK(G94),ISBLANK(H94),ISBLANK(I94),ISBLANK(J94),ISBLANK(K94),ISBLANK(L94),ISBLANK(M94),ISBLANK(N94),ISBLANK(O94),ISBLANK(P94),ISBLANK(Q94),ISBLANK(R94),ISBLANK(S94),ISBLANK(T94),ISBLANK(U94),ISBLANK(V94),ISBLANK(W94),ISBLANK(X94),ISBLANK(Y94)),"필수값 입력",IF(COUNTIFS($A$5:$A$104,A94)&gt;1,"중복 ID",IF(AND(IF(ISNUMBER(B94),AND(B94&gt;=1,MOD(B94,1)=0),FALSE),OR(C94="A",C94="B"),OR(D94=1,D94=2),OR(H94="PASS",H94="FAIL"),OR(I94="PASS",I94="FAIL"),OR(J94="PASS",J94="FAIL"),IF(ISNUMBER(K94),AND(K94&gt;=0,MOD(K94,1)=0),FALSE),IF(ISNUMBER(L94),AND(L94&gt;=0,MOD(L94,1)=0),FALSE),IF(ISNUMBER(M94),AND(M94&gt;=0,MOD(M94,1)=0),FALSE),IF(ISNUMBER(S94),AND(S94&gt;=0,MOD(S94,1)=0),FALSE),IF(ISNUMBER(T94),AND(T94&gt;=0,MOD(T94,1)=0),FALSE),IF(ISNUMBER(P94),AND(P94&gt;=0),FALSE),IF(ISNUMBER(Q94),AND(Q94&gt;=0),FALSE),IF(ISNUMBER(W94),AND(W94&gt;=0),FALSE),IF(ISNUMBER(R94),AND(R94&gt;=0,R94&lt;360),FALSE),Y94="FIELD_MEASUREMENT"),"유효 기록","입력 확인"))))</x:f>
      </x:c>
    </x:row>
    <x:row r="95" ht="22" customHeight="1">
      <x:c r="A95" s="13"/>
      <x:c r="B95" s="15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6"/>
      <x:c r="Q95" s="16"/>
      <x:c r="R95" s="16"/>
      <x:c r="S95" s="13"/>
      <x:c r="T95" s="13"/>
      <x:c r="U95" s="13"/>
      <x:c r="V95" s="13"/>
      <x:c r="W95" s="16"/>
      <x:c r="X95" s="13"/>
      <x:c r="Y95" s="13"/>
      <x:c r="Z95" s="13"/>
      <x:c r="AA95" s="14" t="str">
        <x:f>IF(COUNTA(A95:Z95)=0,"",IF(OR(ISBLANK(A95),ISBLANK(B95),ISBLANK(C95),ISBLANK(D95),ISBLANK(E95),ISBLANK(F95),ISBLANK(G95),ISBLANK(H95),ISBLANK(I95),ISBLANK(J95),ISBLANK(K95),ISBLANK(L95),ISBLANK(M95),ISBLANK(N95),ISBLANK(O95),ISBLANK(P95),ISBLANK(Q95),ISBLANK(R95),ISBLANK(S95),ISBLANK(T95),ISBLANK(U95),ISBLANK(V95),ISBLANK(W95),ISBLANK(X95),ISBLANK(Y95)),"필수값 입력",IF(COUNTIFS($A$5:$A$104,A95)&gt;1,"중복 ID",IF(AND(IF(ISNUMBER(B95),AND(B95&gt;=1,MOD(B95,1)=0),FALSE),OR(C95="A",C95="B"),OR(D95=1,D95=2),OR(H95="PASS",H95="FAIL"),OR(I95="PASS",I95="FAIL"),OR(J95="PASS",J95="FAIL"),IF(ISNUMBER(K95),AND(K95&gt;=0,MOD(K95,1)=0),FALSE),IF(ISNUMBER(L95),AND(L95&gt;=0,MOD(L95,1)=0),FALSE),IF(ISNUMBER(M95),AND(M95&gt;=0,MOD(M95,1)=0),FALSE),IF(ISNUMBER(S95),AND(S95&gt;=0,MOD(S95,1)=0),FALSE),IF(ISNUMBER(T95),AND(T95&gt;=0,MOD(T95,1)=0),FALSE),IF(ISNUMBER(P95),AND(P95&gt;=0),FALSE),IF(ISNUMBER(Q95),AND(Q95&gt;=0),FALSE),IF(ISNUMBER(W95),AND(W95&gt;=0),FALSE),IF(ISNUMBER(R95),AND(R95&gt;=0,R95&lt;360),FALSE),Y95="FIELD_MEASUREMENT"),"유효 기록","입력 확인"))))</x:f>
      </x:c>
    </x:row>
    <x:row r="96" ht="22" customHeight="1">
      <x:c r="A96" s="13"/>
      <x:c r="B96" s="15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6"/>
      <x:c r="Q96" s="16"/>
      <x:c r="R96" s="16"/>
      <x:c r="S96" s="13"/>
      <x:c r="T96" s="13"/>
      <x:c r="U96" s="13"/>
      <x:c r="V96" s="13"/>
      <x:c r="W96" s="16"/>
      <x:c r="X96" s="13"/>
      <x:c r="Y96" s="13"/>
      <x:c r="Z96" s="13"/>
      <x:c r="AA96" s="14" t="str">
        <x:f>IF(COUNTA(A96:Z96)=0,"",IF(OR(ISBLANK(A96),ISBLANK(B96),ISBLANK(C96),ISBLANK(D96),ISBLANK(E96),ISBLANK(F96),ISBLANK(G96),ISBLANK(H96),ISBLANK(I96),ISBLANK(J96),ISBLANK(K96),ISBLANK(L96),ISBLANK(M96),ISBLANK(N96),ISBLANK(O96),ISBLANK(P96),ISBLANK(Q96),ISBLANK(R96),ISBLANK(S96),ISBLANK(T96),ISBLANK(U96),ISBLANK(V96),ISBLANK(W96),ISBLANK(X96),ISBLANK(Y96)),"필수값 입력",IF(COUNTIFS($A$5:$A$104,A96)&gt;1,"중복 ID",IF(AND(IF(ISNUMBER(B96),AND(B96&gt;=1,MOD(B96,1)=0),FALSE),OR(C96="A",C96="B"),OR(D96=1,D96=2),OR(H96="PASS",H96="FAIL"),OR(I96="PASS",I96="FAIL"),OR(J96="PASS",J96="FAIL"),IF(ISNUMBER(K96),AND(K96&gt;=0,MOD(K96,1)=0),FALSE),IF(ISNUMBER(L96),AND(L96&gt;=0,MOD(L96,1)=0),FALSE),IF(ISNUMBER(M96),AND(M96&gt;=0,MOD(M96,1)=0),FALSE),IF(ISNUMBER(S96),AND(S96&gt;=0,MOD(S96,1)=0),FALSE),IF(ISNUMBER(T96),AND(T96&gt;=0,MOD(T96,1)=0),FALSE),IF(ISNUMBER(P96),AND(P96&gt;=0),FALSE),IF(ISNUMBER(Q96),AND(Q96&gt;=0),FALSE),IF(ISNUMBER(W96),AND(W96&gt;=0),FALSE),IF(ISNUMBER(R96),AND(R96&gt;=0,R96&lt;360),FALSE),Y96="FIELD_MEASUREMENT"),"유효 기록","입력 확인"))))</x:f>
      </x:c>
    </x:row>
    <x:row r="97" ht="22" customHeight="1">
      <x:c r="A97" s="13"/>
      <x:c r="B97" s="15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6"/>
      <x:c r="Q97" s="16"/>
      <x:c r="R97" s="16"/>
      <x:c r="S97" s="13"/>
      <x:c r="T97" s="13"/>
      <x:c r="U97" s="13"/>
      <x:c r="V97" s="13"/>
      <x:c r="W97" s="16"/>
      <x:c r="X97" s="13"/>
      <x:c r="Y97" s="13"/>
      <x:c r="Z97" s="13"/>
      <x:c r="AA97" s="14" t="str">
        <x:f>IF(COUNTA(A97:Z97)=0,"",IF(OR(ISBLANK(A97),ISBLANK(B97),ISBLANK(C97),ISBLANK(D97),ISBLANK(E97),ISBLANK(F97),ISBLANK(G97),ISBLANK(H97),ISBLANK(I97),ISBLANK(J97),ISBLANK(K97),ISBLANK(L97),ISBLANK(M97),ISBLANK(N97),ISBLANK(O97),ISBLANK(P97),ISBLANK(Q97),ISBLANK(R97),ISBLANK(S97),ISBLANK(T97),ISBLANK(U97),ISBLANK(V97),ISBLANK(W97),ISBLANK(X97),ISBLANK(Y97)),"필수값 입력",IF(COUNTIFS($A$5:$A$104,A97)&gt;1,"중복 ID",IF(AND(IF(ISNUMBER(B97),AND(B97&gt;=1,MOD(B97,1)=0),FALSE),OR(C97="A",C97="B"),OR(D97=1,D97=2),OR(H97="PASS",H97="FAIL"),OR(I97="PASS",I97="FAIL"),OR(J97="PASS",J97="FAIL"),IF(ISNUMBER(K97),AND(K97&gt;=0,MOD(K97,1)=0),FALSE),IF(ISNUMBER(L97),AND(L97&gt;=0,MOD(L97,1)=0),FALSE),IF(ISNUMBER(M97),AND(M97&gt;=0,MOD(M97,1)=0),FALSE),IF(ISNUMBER(S97),AND(S97&gt;=0,MOD(S97,1)=0),FALSE),IF(ISNUMBER(T97),AND(T97&gt;=0,MOD(T97,1)=0),FALSE),IF(ISNUMBER(P97),AND(P97&gt;=0),FALSE),IF(ISNUMBER(Q97),AND(Q97&gt;=0),FALSE),IF(ISNUMBER(W97),AND(W97&gt;=0),FALSE),IF(ISNUMBER(R97),AND(R97&gt;=0,R97&lt;360),FALSE),Y97="FIELD_MEASUREMENT"),"유효 기록","입력 확인"))))</x:f>
      </x:c>
    </x:row>
    <x:row r="98" ht="22" customHeight="1">
      <x:c r="A98" s="13"/>
      <x:c r="B98" s="15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6"/>
      <x:c r="Q98" s="16"/>
      <x:c r="R98" s="16"/>
      <x:c r="S98" s="13"/>
      <x:c r="T98" s="13"/>
      <x:c r="U98" s="13"/>
      <x:c r="V98" s="13"/>
      <x:c r="W98" s="16"/>
      <x:c r="X98" s="13"/>
      <x:c r="Y98" s="13"/>
      <x:c r="Z98" s="13"/>
      <x:c r="AA98" s="14" t="str">
        <x:f>IF(COUNTA(A98:Z98)=0,"",IF(OR(ISBLANK(A98),ISBLANK(B98),ISBLANK(C98),ISBLANK(D98),ISBLANK(E98),ISBLANK(F98),ISBLANK(G98),ISBLANK(H98),ISBLANK(I98),ISBLANK(J98),ISBLANK(K98),ISBLANK(L98),ISBLANK(M98),ISBLANK(N98),ISBLANK(O98),ISBLANK(P98),ISBLANK(Q98),ISBLANK(R98),ISBLANK(S98),ISBLANK(T98),ISBLANK(U98),ISBLANK(V98),ISBLANK(W98),ISBLANK(X98),ISBLANK(Y98)),"필수값 입력",IF(COUNTIFS($A$5:$A$104,A98)&gt;1,"중복 ID",IF(AND(IF(ISNUMBER(B98),AND(B98&gt;=1,MOD(B98,1)=0),FALSE),OR(C98="A",C98="B"),OR(D98=1,D98=2),OR(H98="PASS",H98="FAIL"),OR(I98="PASS",I98="FAIL"),OR(J98="PASS",J98="FAIL"),IF(ISNUMBER(K98),AND(K98&gt;=0,MOD(K98,1)=0),FALSE),IF(ISNUMBER(L98),AND(L98&gt;=0,MOD(L98,1)=0),FALSE),IF(ISNUMBER(M98),AND(M98&gt;=0,MOD(M98,1)=0),FALSE),IF(ISNUMBER(S98),AND(S98&gt;=0,MOD(S98,1)=0),FALSE),IF(ISNUMBER(T98),AND(T98&gt;=0,MOD(T98,1)=0),FALSE),IF(ISNUMBER(P98),AND(P98&gt;=0),FALSE),IF(ISNUMBER(Q98),AND(Q98&gt;=0),FALSE),IF(ISNUMBER(W98),AND(W98&gt;=0),FALSE),IF(ISNUMBER(R98),AND(R98&gt;=0,R98&lt;360),FALSE),Y98="FIELD_MEASUREMENT"),"유효 기록","입력 확인"))))</x:f>
      </x:c>
    </x:row>
    <x:row r="99" ht="22" customHeight="1">
      <x:c r="A99" s="13"/>
      <x:c r="B99" s="15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6"/>
      <x:c r="Q99" s="16"/>
      <x:c r="R99" s="16"/>
      <x:c r="S99" s="13"/>
      <x:c r="T99" s="13"/>
      <x:c r="U99" s="13"/>
      <x:c r="V99" s="13"/>
      <x:c r="W99" s="16"/>
      <x:c r="X99" s="13"/>
      <x:c r="Y99" s="13"/>
      <x:c r="Z99" s="13"/>
      <x:c r="AA99" s="14" t="str">
        <x:f>IF(COUNTA(A99:Z99)=0,"",IF(OR(ISBLANK(A99),ISBLANK(B99),ISBLANK(C99),ISBLANK(D99),ISBLANK(E99),ISBLANK(F99),ISBLANK(G99),ISBLANK(H99),ISBLANK(I99),ISBLANK(J99),ISBLANK(K99),ISBLANK(L99),ISBLANK(M99),ISBLANK(N99),ISBLANK(O99),ISBLANK(P99),ISBLANK(Q99),ISBLANK(R99),ISBLANK(S99),ISBLANK(T99),ISBLANK(U99),ISBLANK(V99),ISBLANK(W99),ISBLANK(X99),ISBLANK(Y99)),"필수값 입력",IF(COUNTIFS($A$5:$A$104,A99)&gt;1,"중복 ID",IF(AND(IF(ISNUMBER(B99),AND(B99&gt;=1,MOD(B99,1)=0),FALSE),OR(C99="A",C99="B"),OR(D99=1,D99=2),OR(H99="PASS",H99="FAIL"),OR(I99="PASS",I99="FAIL"),OR(J99="PASS",J99="FAIL"),IF(ISNUMBER(K99),AND(K99&gt;=0,MOD(K99,1)=0),FALSE),IF(ISNUMBER(L99),AND(L99&gt;=0,MOD(L99,1)=0),FALSE),IF(ISNUMBER(M99),AND(M99&gt;=0,MOD(M99,1)=0),FALSE),IF(ISNUMBER(S99),AND(S99&gt;=0,MOD(S99,1)=0),FALSE),IF(ISNUMBER(T99),AND(T99&gt;=0,MOD(T99,1)=0),FALSE),IF(ISNUMBER(P99),AND(P99&gt;=0),FALSE),IF(ISNUMBER(Q99),AND(Q99&gt;=0),FALSE),IF(ISNUMBER(W99),AND(W99&gt;=0),FALSE),IF(ISNUMBER(R99),AND(R99&gt;=0,R99&lt;360),FALSE),Y99="FIELD_MEASUREMENT"),"유효 기록","입력 확인"))))</x:f>
      </x:c>
    </x:row>
    <x:row r="100" ht="22" customHeight="1">
      <x:c r="A100" s="13"/>
      <x:c r="B100" s="15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6"/>
      <x:c r="Q100" s="16"/>
      <x:c r="R100" s="16"/>
      <x:c r="S100" s="13"/>
      <x:c r="T100" s="13"/>
      <x:c r="U100" s="13"/>
      <x:c r="V100" s="13"/>
      <x:c r="W100" s="16"/>
      <x:c r="X100" s="13"/>
      <x:c r="Y100" s="13"/>
      <x:c r="Z100" s="13"/>
      <x:c r="AA100" s="14" t="str">
        <x:f>IF(COUNTA(A100:Z100)=0,"",IF(OR(ISBLANK(A100),ISBLANK(B100),ISBLANK(C100),ISBLANK(D100),ISBLANK(E100),ISBLANK(F100),ISBLANK(G100),ISBLANK(H100),ISBLANK(I100),ISBLANK(J100),ISBLANK(K100),ISBLANK(L100),ISBLANK(M100),ISBLANK(N100),ISBLANK(O100),ISBLANK(P100),ISBLANK(Q100),ISBLANK(R100),ISBLANK(S100),ISBLANK(T100),ISBLANK(U100),ISBLANK(V100),ISBLANK(W100),ISBLANK(X100),ISBLANK(Y100)),"필수값 입력",IF(COUNTIFS($A$5:$A$104,A100)&gt;1,"중복 ID",IF(AND(IF(ISNUMBER(B100),AND(B100&gt;=1,MOD(B100,1)=0),FALSE),OR(C100="A",C100="B"),OR(D100=1,D100=2),OR(H100="PASS",H100="FAIL"),OR(I100="PASS",I100="FAIL"),OR(J100="PASS",J100="FAIL"),IF(ISNUMBER(K100),AND(K100&gt;=0,MOD(K100,1)=0),FALSE),IF(ISNUMBER(L100),AND(L100&gt;=0,MOD(L100,1)=0),FALSE),IF(ISNUMBER(M100),AND(M100&gt;=0,MOD(M100,1)=0),FALSE),IF(ISNUMBER(S100),AND(S100&gt;=0,MOD(S100,1)=0),FALSE),IF(ISNUMBER(T100),AND(T100&gt;=0,MOD(T100,1)=0),FALSE),IF(ISNUMBER(P100),AND(P100&gt;=0),FALSE),IF(ISNUMBER(Q100),AND(Q100&gt;=0),FALSE),IF(ISNUMBER(W100),AND(W100&gt;=0),FALSE),IF(ISNUMBER(R100),AND(R100&gt;=0,R100&lt;360),FALSE),Y100="FIELD_MEASUREMENT"),"유효 기록","입력 확인"))))</x:f>
      </x:c>
    </x:row>
    <x:row r="101" ht="22" customHeight="1">
      <x:c r="A101" s="13"/>
      <x:c r="B101" s="15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6"/>
      <x:c r="Q101" s="16"/>
      <x:c r="R101" s="16"/>
      <x:c r="S101" s="13"/>
      <x:c r="T101" s="13"/>
      <x:c r="U101" s="13"/>
      <x:c r="V101" s="13"/>
      <x:c r="W101" s="16"/>
      <x:c r="X101" s="13"/>
      <x:c r="Y101" s="13"/>
      <x:c r="Z101" s="13"/>
      <x:c r="AA101" s="14" t="str">
        <x:f>IF(COUNTA(A101:Z101)=0,"",IF(OR(ISBLANK(A101),ISBLANK(B101),ISBLANK(C101),ISBLANK(D101),ISBLANK(E101),ISBLANK(F101),ISBLANK(G101),ISBLANK(H101),ISBLANK(I101),ISBLANK(J101),ISBLANK(K101),ISBLANK(L101),ISBLANK(M101),ISBLANK(N101),ISBLANK(O101),ISBLANK(P101),ISBLANK(Q101),ISBLANK(R101),ISBLANK(S101),ISBLANK(T101),ISBLANK(U101),ISBLANK(V101),ISBLANK(W101),ISBLANK(X101),ISBLANK(Y101)),"필수값 입력",IF(COUNTIFS($A$5:$A$104,A101)&gt;1,"중복 ID",IF(AND(IF(ISNUMBER(B101),AND(B101&gt;=1,MOD(B101,1)=0),FALSE),OR(C101="A",C101="B"),OR(D101=1,D101=2),OR(H101="PASS",H101="FAIL"),OR(I101="PASS",I101="FAIL"),OR(J101="PASS",J101="FAIL"),IF(ISNUMBER(K101),AND(K101&gt;=0,MOD(K101,1)=0),FALSE),IF(ISNUMBER(L101),AND(L101&gt;=0,MOD(L101,1)=0),FALSE),IF(ISNUMBER(M101),AND(M101&gt;=0,MOD(M101,1)=0),FALSE),IF(ISNUMBER(S101),AND(S101&gt;=0,MOD(S101,1)=0),FALSE),IF(ISNUMBER(T101),AND(T101&gt;=0,MOD(T101,1)=0),FALSE),IF(ISNUMBER(P101),AND(P101&gt;=0),FALSE),IF(ISNUMBER(Q101),AND(Q101&gt;=0),FALSE),IF(ISNUMBER(W101),AND(W101&gt;=0),FALSE),IF(ISNUMBER(R101),AND(R101&gt;=0,R101&lt;360),FALSE),Y101="FIELD_MEASUREMENT"),"유효 기록","입력 확인"))))</x:f>
      </x:c>
    </x:row>
    <x:row r="102" ht="22" customHeight="1">
      <x:c r="A102" s="13"/>
      <x:c r="B102" s="15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6"/>
      <x:c r="Q102" s="16"/>
      <x:c r="R102" s="16"/>
      <x:c r="S102" s="13"/>
      <x:c r="T102" s="13"/>
      <x:c r="U102" s="13"/>
      <x:c r="V102" s="13"/>
      <x:c r="W102" s="16"/>
      <x:c r="X102" s="13"/>
      <x:c r="Y102" s="13"/>
      <x:c r="Z102" s="13"/>
      <x:c r="AA102" s="14" t="str">
        <x:f>IF(COUNTA(A102:Z102)=0,"",IF(OR(ISBLANK(A102),ISBLANK(B102),ISBLANK(C102),ISBLANK(D102),ISBLANK(E102),ISBLANK(F102),ISBLANK(G102),ISBLANK(H102),ISBLANK(I102),ISBLANK(J102),ISBLANK(K102),ISBLANK(L102),ISBLANK(M102),ISBLANK(N102),ISBLANK(O102),ISBLANK(P102),ISBLANK(Q102),ISBLANK(R102),ISBLANK(S102),ISBLANK(T102),ISBLANK(U102),ISBLANK(V102),ISBLANK(W102),ISBLANK(X102),ISBLANK(Y102)),"필수값 입력",IF(COUNTIFS($A$5:$A$104,A102)&gt;1,"중복 ID",IF(AND(IF(ISNUMBER(B102),AND(B102&gt;=1,MOD(B102,1)=0),FALSE),OR(C102="A",C102="B"),OR(D102=1,D102=2),OR(H102="PASS",H102="FAIL"),OR(I102="PASS",I102="FAIL"),OR(J102="PASS",J102="FAIL"),IF(ISNUMBER(K102),AND(K102&gt;=0,MOD(K102,1)=0),FALSE),IF(ISNUMBER(L102),AND(L102&gt;=0,MOD(L102,1)=0),FALSE),IF(ISNUMBER(M102),AND(M102&gt;=0,MOD(M102,1)=0),FALSE),IF(ISNUMBER(S102),AND(S102&gt;=0,MOD(S102,1)=0),FALSE),IF(ISNUMBER(T102),AND(T102&gt;=0,MOD(T102,1)=0),FALSE),IF(ISNUMBER(P102),AND(P102&gt;=0),FALSE),IF(ISNUMBER(Q102),AND(Q102&gt;=0),FALSE),IF(ISNUMBER(W102),AND(W102&gt;=0),FALSE),IF(ISNUMBER(R102),AND(R102&gt;=0,R102&lt;360),FALSE),Y102="FIELD_MEASUREMENT"),"유효 기록","입력 확인"))))</x:f>
      </x:c>
    </x:row>
    <x:row r="103" ht="22" customHeight="1">
      <x:c r="A103" s="13"/>
      <x:c r="B103" s="15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6"/>
      <x:c r="Q103" s="16"/>
      <x:c r="R103" s="16"/>
      <x:c r="S103" s="13"/>
      <x:c r="T103" s="13"/>
      <x:c r="U103" s="13"/>
      <x:c r="V103" s="13"/>
      <x:c r="W103" s="16"/>
      <x:c r="X103" s="13"/>
      <x:c r="Y103" s="13"/>
      <x:c r="Z103" s="13"/>
      <x:c r="AA103" s="14" t="str">
        <x:f>IF(COUNTA(A103:Z103)=0,"",IF(OR(ISBLANK(A103),ISBLANK(B103),ISBLANK(C103),ISBLANK(D103),ISBLANK(E103),ISBLANK(F103),ISBLANK(G103),ISBLANK(H103),ISBLANK(I103),ISBLANK(J103),ISBLANK(K103),ISBLANK(L103),ISBLANK(M103),ISBLANK(N103),ISBLANK(O103),ISBLANK(P103),ISBLANK(Q103),ISBLANK(R103),ISBLANK(S103),ISBLANK(T103),ISBLANK(U103),ISBLANK(V103),ISBLANK(W103),ISBLANK(X103),ISBLANK(Y103)),"필수값 입력",IF(COUNTIFS($A$5:$A$104,A103)&gt;1,"중복 ID",IF(AND(IF(ISNUMBER(B103),AND(B103&gt;=1,MOD(B103,1)=0),FALSE),OR(C103="A",C103="B"),OR(D103=1,D103=2),OR(H103="PASS",H103="FAIL"),OR(I103="PASS",I103="FAIL"),OR(J103="PASS",J103="FAIL"),IF(ISNUMBER(K103),AND(K103&gt;=0,MOD(K103,1)=0),FALSE),IF(ISNUMBER(L103),AND(L103&gt;=0,MOD(L103,1)=0),FALSE),IF(ISNUMBER(M103),AND(M103&gt;=0,MOD(M103,1)=0),FALSE),IF(ISNUMBER(S103),AND(S103&gt;=0,MOD(S103,1)=0),FALSE),IF(ISNUMBER(T103),AND(T103&gt;=0,MOD(T103,1)=0),FALSE),IF(ISNUMBER(P103),AND(P103&gt;=0),FALSE),IF(ISNUMBER(Q103),AND(Q103&gt;=0),FALSE),IF(ISNUMBER(W103),AND(W103&gt;=0),FALSE),IF(ISNUMBER(R103),AND(R103&gt;=0,R103&lt;360),FALSE),Y103="FIELD_MEASUREMENT"),"유효 기록","입력 확인"))))</x:f>
      </x:c>
    </x:row>
    <x:row r="104" ht="22" customHeight="1">
      <x:c r="A104" s="13"/>
      <x:c r="B104" s="15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6"/>
      <x:c r="Q104" s="16"/>
      <x:c r="R104" s="16"/>
      <x:c r="S104" s="13"/>
      <x:c r="T104" s="13"/>
      <x:c r="U104" s="13"/>
      <x:c r="V104" s="13"/>
      <x:c r="W104" s="16"/>
      <x:c r="X104" s="13"/>
      <x:c r="Y104" s="13"/>
      <x:c r="Z104" s="13"/>
      <x:c r="AA104" s="14" t="str">
        <x:f>IF(COUNTA(A104:Z104)=0,"",IF(OR(ISBLANK(A104),ISBLANK(B104),ISBLANK(C104),ISBLANK(D104),ISBLANK(E104),ISBLANK(F104),ISBLANK(G104),ISBLANK(H104),ISBLANK(I104),ISBLANK(J104),ISBLANK(K104),ISBLANK(L104),ISBLANK(M104),ISBLANK(N104),ISBLANK(O104),ISBLANK(P104),ISBLANK(Q104),ISBLANK(R104),ISBLANK(S104),ISBLANK(T104),ISBLANK(U104),ISBLANK(V104),ISBLANK(W104),ISBLANK(X104),ISBLANK(Y104)),"필수값 입력",IF(COUNTIFS($A$5:$A$104,A104)&gt;1,"중복 ID",IF(AND(IF(ISNUMBER(B104),AND(B104&gt;=1,MOD(B104,1)=0),FALSE),OR(C104="A",C104="B"),OR(D104=1,D104=2),OR(H104="PASS",H104="FAIL"),OR(I104="PASS",I104="FAIL"),OR(J104="PASS",J104="FAIL"),IF(ISNUMBER(K104),AND(K104&gt;=0,MOD(K104,1)=0),FALSE),IF(ISNUMBER(L104),AND(L104&gt;=0,MOD(L104,1)=0),FALSE),IF(ISNUMBER(M104),AND(M104&gt;=0,MOD(M104,1)=0),FALSE),IF(ISNUMBER(S104),AND(S104&gt;=0,MOD(S104,1)=0),FALSE),IF(ISNUMBER(T104),AND(T104&gt;=0,MOD(T104,1)=0),FALSE),IF(ISNUMBER(P104),AND(P104&gt;=0),FALSE),IF(ISNUMBER(Q104),AND(Q104&gt;=0),FALSE),IF(ISNUMBER(W104),AND(W104&gt;=0),FALSE),IF(ISNUMBER(R104),AND(R104&gt;=0,R104&lt;360),FALSE),Y104="FIELD_MEASUREMENT"),"유효 기록","입력 확인"))))</x:f>
      </x:c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44" customHeight="1">
      <x:c r="A107" s="11" t="str">
        <x:v>기록 요약</x:v>
      </x:c>
      <x:c r="B107" s="11" t="str">
        <x:v>값</x:v>
      </x:c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2" customHeight="1">
      <x:c r="A108" s="2" t="str">
        <x:v>유효 FIELD 기록</x:v>
      </x:c>
      <x:c r="B108" s="2" t="n">
        <x:f>COUNTIFS(AA5:AA104,"유효 기록")</x:f>
        <x:v>0</x:v>
      </x:c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2" customHeight="1">
      <x:c r="A109" s="2" t="str">
        <x:v>입력 확인 필요</x:v>
      </x:c>
      <x:c r="B109" s="2" t="n">
        <x:f>COUNTIFS(AA5:AA104,"필수값 입력")+COUNTIFS(AA5:AA104,"중복 ID")+COUNTIFS(AA5:AA104,"입력 확인")</x:f>
        <x:v>0</x:v>
      </x:c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2" customHeight="1">
      <x:c r="A111" s="17" t="str">
        <x:v>이 시트의 입력은 02_쌍체비교에 자동 전송되지 않는다. 원자료 추적용 기록이며 쌍체 입력은 검토 후 별도로 작성한다.</x:v>
      </x:c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</x:sheetData>
  <x:mergeCells>
    <x:mergeCell ref="A1:J1"/>
    <x:mergeCell ref="A2:J2"/>
    <x:mergeCell ref="A111:J111"/>
  </x:mergeCells>
  <x:dataValidations count="15">
    <x:dataValidation type="list" sqref="C5:C104">
      <x:formula1>"A,B"</x:formula1>
    </x:dataValidation>
    <x:dataValidation type="list" sqref="D5:D104">
      <x:formula1>"1,2"</x:formula1>
    </x:dataValidation>
    <x:dataValidation type="list" sqref="H5:H104">
      <x:formula1>"PASS,FAIL"</x:formula1>
    </x:dataValidation>
    <x:dataValidation type="list" sqref="I5:I104">
      <x:formula1>"PASS,FAIL"</x:formula1>
    </x:dataValidation>
    <x:dataValidation type="list" sqref="J5:J104">
      <x:formula1>"PASS,FAIL"</x:formula1>
    </x:dataValidation>
    <x:dataValidation type="list" sqref="Y5:Y104">
      <x:formula1>"FIELD_MEASUREMENT"</x:formula1>
    </x:dataValidation>
    <x:dataValidation type="whole" operator="greaterThanOrEqual" sqref="K5:K104">
      <x:formula1>0</x:formula1>
    </x:dataValidation>
    <x:dataValidation type="whole" operator="greaterThanOrEqual" sqref="L5:L104">
      <x:formula1>0</x:formula1>
    </x:dataValidation>
    <x:dataValidation type="whole" operator="greaterThanOrEqual" sqref="M5:M104">
      <x:formula1>0</x:formula1>
    </x:dataValidation>
    <x:dataValidation type="whole" operator="greaterThanOrEqual" sqref="S5:S104">
      <x:formula1>0</x:formula1>
    </x:dataValidation>
    <x:dataValidation type="whole" operator="greaterThanOrEqual" sqref="T5:T104">
      <x:formula1>0</x:formula1>
    </x:dataValidation>
    <x:dataValidation type="decimal" operator="greaterThanOrEqual" sqref="P5:P104">
      <x:formula1>0</x:formula1>
    </x:dataValidation>
    <x:dataValidation type="decimal" operator="greaterThanOrEqual" sqref="Q5:Q104">
      <x:formula1>0</x:formula1>
    </x:dataValidation>
    <x:dataValidation type="decimal" operator="greaterThanOrEqual" sqref="R5:R104">
      <x:formula1>0</x:formula1>
    </x:dataValidation>
    <x:dataValidation type="decimal" operator="greaterThanOrEqual" sqref="W5:W10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ea6fa3ca0a4d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0" hidden="0" customWidth="1"/>
    <x:col min="4" max="4" width="16" hidden="0" customWidth="1"/>
    <x:col min="5" max="5" width="48" hidden="0" customWidth="1"/>
    <x:col min="6" max="6" width="19" hidden="0" customWidth="1"/>
    <x:col min="7" max="7" width="19" hidden="0" customWidth="1"/>
    <x:col min="8" max="8" width="17" hidden="0" customWidth="1"/>
    <x:col min="9" max="9" width="19" hidden="0" customWidth="1"/>
    <x:col min="10" max="10" width="21" hidden="0" customWidth="1"/>
    <x:col min="11" max="11" width="10" hidden="0" customWidth="1"/>
    <x:col min="12" max="12" width="16" hidden="0" customWidth="1"/>
    <x:col min="13" max="13" width="15" hidden="0" customWidth="1"/>
    <x:col min="14" max="14" width="19" hidden="0" customWidth="1"/>
    <x:col min="15" max="15" width="19" hidden="0" customWidth="1"/>
    <x:col min="16" max="16" width="17" hidden="0" customWidth="1"/>
    <x:col min="17" max="17" width="19" hidden="0" customWidth="1"/>
    <x:col min="18" max="18" width="21" hidden="0" customWidth="1"/>
    <x:col min="19" max="19" width="22" hidden="0" customWidth="1"/>
    <x:col min="20" max="20" width="32" hidden="0" customWidth="1"/>
    <x:col min="21" max="21" width="19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32" customHeight="1">
      <x:c r="A1" s="4" t="str">
        <x:v>캐리어 안착 및 Witness Coupon 쌍체 A/B 비교</x:v>
      </x:c>
      <x:c r="B1" s="4"/>
      <x:c r="C1" s="4"/>
      <x:c r="D1" s="4"/>
      <x:c r="E1" s="4"/>
      <x:c r="F1" s="4"/>
      <x:c r="G1" s="4"/>
      <x:c r="H1" s="4"/>
      <x:c r="I1" s="4"/>
      <x:c r="J1" s="4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2" customHeight="1">
      <x:c r="A2" s="8" t="str">
        <x:v>연속 결과는 고정 측정점 두께의 범위(nm)다. 각 방법의 범위는 동일한 측정점 집합에서 max(thickness) - min(thickness)로 산출해 입력한다.</x:v>
      </x:c>
      <x:c r="B2" s="8"/>
      <x:c r="C2" s="8"/>
      <x:c r="D2" s="8"/>
      <x:c r="E2" s="8"/>
      <x:c r="F2" s="8"/>
      <x:c r="G2" s="8"/>
      <x:c r="H2" s="8"/>
      <x:c r="I2" s="8"/>
      <x:c r="J2" s="8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44" customHeight="1">
      <x:c r="A4" s="11" t="str">
        <x:v>pair_id</x:v>
      </x:c>
      <x:c r="B4" s="11" t="str">
        <x:v>block_id</x:v>
      </x:c>
      <x:c r="C4" s="11" t="str">
        <x:v>A_order</x:v>
      </x:c>
      <x:c r="D4" s="11" t="str">
        <x:v>A_carrier_id</x:v>
      </x:c>
      <x:c r="E4" s="11" t="str">
        <x:v>A_coupon_id</x:v>
      </x:c>
      <x:c r="F4" s="11" t="str">
        <x:v>A_thickness_range_nm</x:v>
      </x:c>
      <x:c r="G4" s="11" t="str">
        <x:v>A_carrier_seating_errors</x:v>
      </x:c>
      <x:c r="H4" s="11" t="str">
        <x:v>A_preparation_errors</x:v>
      </x:c>
      <x:c r="I4" s="11" t="str">
        <x:v>A_coupon_position_errors</x:v>
      </x:c>
      <x:c r="J4" s="11" t="str">
        <x:v>A_coupon_orientation_errors</x:v>
      </x:c>
      <x:c r="K4" s="11" t="str">
        <x:v>B_order</x:v>
      </x:c>
      <x:c r="L4" s="11" t="str">
        <x:v>B_carrier_id</x:v>
      </x:c>
      <x:c r="M4" s="11" t="str">
        <x:v>B_coupon_id</x:v>
      </x:c>
      <x:c r="N4" s="11" t="str">
        <x:v>B_thickness_range_nm</x:v>
      </x:c>
      <x:c r="O4" s="11" t="str">
        <x:v>B_carrier_seating_errors</x:v>
      </x:c>
      <x:c r="P4" s="11" t="str">
        <x:v>B_preparation_errors</x:v>
      </x:c>
      <x:c r="Q4" s="11" t="str">
        <x:v>B_coupon_position_errors</x:v>
      </x:c>
      <x:c r="R4" s="11" t="str">
        <x:v>B_coupon_orientation_errors</x:v>
      </x:c>
      <x:c r="S4" s="11" t="str">
        <x:v>evidence_status</x:v>
      </x:c>
      <x:c r="T4" s="11" t="str">
        <x:v>notes</x:v>
      </x:c>
      <x:c r="U4" s="11" t="str">
        <x:v>pair_status</x:v>
      </x:c>
      <x:c r="V4" s="11" t="str">
        <x:v>valid_A_nm</x:v>
      </x:c>
      <x:c r="W4" s="11" t="str">
        <x:v>valid_B_nm</x:v>
      </x:c>
      <x:c r="X4" s="11" t="str">
        <x:v>delta_nm</x:v>
      </x:c>
    </x:row>
    <x:row r="5" ht="22" customHeight="1">
      <x:c r="A5" s="13"/>
      <x:c r="B5" s="13"/>
      <x:c r="C5" s="13"/>
      <x:c r="D5" s="13"/>
      <x:c r="E5" s="13"/>
      <x:c r="F5" s="16"/>
      <x:c r="G5" s="13"/>
      <x:c r="H5" s="13"/>
      <x:c r="I5" s="13"/>
      <x:c r="J5" s="13"/>
      <x:c r="K5" s="13"/>
      <x:c r="L5" s="13"/>
      <x:c r="M5" s="13"/>
      <x:c r="N5" s="16"/>
      <x:c r="O5" s="13"/>
      <x:c r="P5" s="13"/>
      <x:c r="Q5" s="13"/>
      <x:c r="R5" s="13"/>
      <x:c r="S5" s="13"/>
      <x:c r="T5" s="13"/>
      <x:c r="U5" s="14" t="str">
        <x:f>IF(COUNTA(A5:T5)=0,"",IF(ISBLANK(A5),"pair ID 입력",IF(COUNTIFS($A$5:$A$34,A5)&gt;1,"중복 ID",IF(OR(ISBLANK(B5),ISBLANK(C5),ISBLANK(D5),ISBLANK(E5),ISBLANK(F5),ISBLANK(G5),ISBLANK(H5),ISBLANK(I5),ISBLANK(J5),ISBLANK(K5),ISBLANK(L5),ISBLANK(M5),ISBLANK(N5),ISBLANK(O5),ISBLANK(P5),ISBLANK(Q5),ISBLANK(R5),ISBLANK(S5)),"필수값 입력",IF(AND(OR(AND(C5=1,K5=2),AND(C5=2,K5=1)),IF(ISNUMBER(F5),AND(F5&gt;=0),FALSE),IF(ISNUMBER(N5),AND(N5&gt;=0),FALSE),IF(ISNUMBER(G5),AND(G5&gt;=0,MOD(G5,1)=0),FALSE),IF(ISNUMBER(H5),AND(H5&gt;=0,MOD(H5,1)=0),FALSE),IF(ISNUMBER(I5),AND(I5&gt;=0,MOD(I5,1)=0),FALSE),IF(ISNUMBER(J5),AND(J5&gt;=0,MOD(J5,1)=0),FALSE),IF(ISNUMBER(O5),AND(O5&gt;=0,MOD(O5,1)=0),FALSE),IF(ISNUMBER(P5),AND(P5&gt;=0,MOD(P5,1)=0),FALSE),IF(ISNUMBER(Q5),AND(Q5&gt;=0,MOD(Q5,1)=0),FALSE),IF(ISNUMBER(R5),AND(R5&gt;=0,MOD(R5,1)=0),FALSE),S5="FIELD_MEASUREMENT"),"유효 쌍","입력 확인")))))</x:f>
      </x:c>
      <x:c r="V5" s="18" t="str">
        <x:f>IF(U5="유효 쌍",F5,"")</x:f>
      </x:c>
      <x:c r="W5" s="18" t="str">
        <x:f>IF(U5="유효 쌍",N5,"")</x:f>
      </x:c>
      <x:c r="X5" s="18" t="str">
        <x:f>IF(U5="유효 쌍",V5-W5,"")</x:f>
      </x:c>
    </x:row>
    <x:row r="6" ht="22" customHeight="1">
      <x:c r="A6" s="13"/>
      <x:c r="B6" s="13"/>
      <x:c r="C6" s="13"/>
      <x:c r="D6" s="13"/>
      <x:c r="E6" s="13"/>
      <x:c r="F6" s="16"/>
      <x:c r="G6" s="13"/>
      <x:c r="H6" s="13"/>
      <x:c r="I6" s="13"/>
      <x:c r="J6" s="13"/>
      <x:c r="K6" s="13"/>
      <x:c r="L6" s="13"/>
      <x:c r="M6" s="13"/>
      <x:c r="N6" s="16"/>
      <x:c r="O6" s="13"/>
      <x:c r="P6" s="13"/>
      <x:c r="Q6" s="13"/>
      <x:c r="R6" s="13"/>
      <x:c r="S6" s="13"/>
      <x:c r="T6" s="13"/>
      <x:c r="U6" s="14" t="str">
        <x:f>IF(COUNTA(A6:T6)=0,"",IF(ISBLANK(A6),"pair ID 입력",IF(COUNTIFS($A$5:$A$34,A6)&gt;1,"중복 ID",IF(OR(ISBLANK(B6),ISBLANK(C6),ISBLANK(D6),ISBLANK(E6),ISBLANK(F6),ISBLANK(G6),ISBLANK(H6),ISBLANK(I6),ISBLANK(J6),ISBLANK(K6),ISBLANK(L6),ISBLANK(M6),ISBLANK(N6),ISBLANK(O6),ISBLANK(P6),ISBLANK(Q6),ISBLANK(R6),ISBLANK(S6)),"필수값 입력",IF(AND(OR(AND(C6=1,K6=2),AND(C6=2,K6=1)),IF(ISNUMBER(F6),AND(F6&gt;=0),FALSE),IF(ISNUMBER(N6),AND(N6&gt;=0),FALSE),IF(ISNUMBER(G6),AND(G6&gt;=0,MOD(G6,1)=0),FALSE),IF(ISNUMBER(H6),AND(H6&gt;=0,MOD(H6,1)=0),FALSE),IF(ISNUMBER(I6),AND(I6&gt;=0,MOD(I6,1)=0),FALSE),IF(ISNUMBER(J6),AND(J6&gt;=0,MOD(J6,1)=0),FALSE),IF(ISNUMBER(O6),AND(O6&gt;=0,MOD(O6,1)=0),FALSE),IF(ISNUMBER(P6),AND(P6&gt;=0,MOD(P6,1)=0),FALSE),IF(ISNUMBER(Q6),AND(Q6&gt;=0,MOD(Q6,1)=0),FALSE),IF(ISNUMBER(R6),AND(R6&gt;=0,MOD(R6,1)=0),FALSE),S6="FIELD_MEASUREMENT"),"유효 쌍","입력 확인")))))</x:f>
      </x:c>
      <x:c r="V6" s="18" t="str">
        <x:f>IF(U6="유효 쌍",F6,"")</x:f>
      </x:c>
      <x:c r="W6" s="18" t="str">
        <x:f>IF(U6="유효 쌍",N6,"")</x:f>
      </x:c>
      <x:c r="X6" s="18" t="str">
        <x:f>IF(U6="유효 쌍",V6-W6,"")</x:f>
      </x:c>
    </x:row>
    <x:row r="7" ht="22" customHeight="1">
      <x:c r="A7" s="13"/>
      <x:c r="B7" s="13"/>
      <x:c r="C7" s="13"/>
      <x:c r="D7" s="13"/>
      <x:c r="E7" s="13"/>
      <x:c r="F7" s="16"/>
      <x:c r="G7" s="13"/>
      <x:c r="H7" s="13"/>
      <x:c r="I7" s="13"/>
      <x:c r="J7" s="13"/>
      <x:c r="K7" s="13"/>
      <x:c r="L7" s="13"/>
      <x:c r="M7" s="13"/>
      <x:c r="N7" s="16"/>
      <x:c r="O7" s="13"/>
      <x:c r="P7" s="13"/>
      <x:c r="Q7" s="13"/>
      <x:c r="R7" s="13"/>
      <x:c r="S7" s="13"/>
      <x:c r="T7" s="13"/>
      <x:c r="U7" s="14" t="str">
        <x:f>IF(COUNTA(A7:T7)=0,"",IF(ISBLANK(A7),"pair ID 입력",IF(COUNTIFS($A$5:$A$34,A7)&gt;1,"중복 ID",IF(OR(ISBLANK(B7),ISBLANK(C7),ISBLANK(D7),ISBLANK(E7),ISBLANK(F7),ISBLANK(G7),ISBLANK(H7),ISBLANK(I7),ISBLANK(J7),ISBLANK(K7),ISBLANK(L7),ISBLANK(M7),ISBLANK(N7),ISBLANK(O7),ISBLANK(P7),ISBLANK(Q7),ISBLANK(R7),ISBLANK(S7)),"필수값 입력",IF(AND(OR(AND(C7=1,K7=2),AND(C7=2,K7=1)),IF(ISNUMBER(F7),AND(F7&gt;=0),FALSE),IF(ISNUMBER(N7),AND(N7&gt;=0),FALSE),IF(ISNUMBER(G7),AND(G7&gt;=0,MOD(G7,1)=0),FALSE),IF(ISNUMBER(H7),AND(H7&gt;=0,MOD(H7,1)=0),FALSE),IF(ISNUMBER(I7),AND(I7&gt;=0,MOD(I7,1)=0),FALSE),IF(ISNUMBER(J7),AND(J7&gt;=0,MOD(J7,1)=0),FALSE),IF(ISNUMBER(O7),AND(O7&gt;=0,MOD(O7,1)=0),FALSE),IF(ISNUMBER(P7),AND(P7&gt;=0,MOD(P7,1)=0),FALSE),IF(ISNUMBER(Q7),AND(Q7&gt;=0,MOD(Q7,1)=0),FALSE),IF(ISNUMBER(R7),AND(R7&gt;=0,MOD(R7,1)=0),FALSE),S7="FIELD_MEASUREMENT"),"유효 쌍","입력 확인")))))</x:f>
      </x:c>
      <x:c r="V7" s="18" t="str">
        <x:f>IF(U7="유효 쌍",F7,"")</x:f>
      </x:c>
      <x:c r="W7" s="18" t="str">
        <x:f>IF(U7="유효 쌍",N7,"")</x:f>
      </x:c>
      <x:c r="X7" s="18" t="str">
        <x:f>IF(U7="유효 쌍",V7-W7,"")</x:f>
      </x:c>
    </x:row>
    <x:row r="8" ht="22" customHeight="1">
      <x:c r="A8" s="13"/>
      <x:c r="B8" s="13"/>
      <x:c r="C8" s="13"/>
      <x:c r="D8" s="13"/>
      <x:c r="E8" s="13"/>
      <x:c r="F8" s="16"/>
      <x:c r="G8" s="13"/>
      <x:c r="H8" s="13"/>
      <x:c r="I8" s="13"/>
      <x:c r="J8" s="13"/>
      <x:c r="K8" s="13"/>
      <x:c r="L8" s="13"/>
      <x:c r="M8" s="13"/>
      <x:c r="N8" s="16"/>
      <x:c r="O8" s="13"/>
      <x:c r="P8" s="13"/>
      <x:c r="Q8" s="13"/>
      <x:c r="R8" s="13"/>
      <x:c r="S8" s="13"/>
      <x:c r="T8" s="13"/>
      <x:c r="U8" s="14" t="str">
        <x:f>IF(COUNTA(A8:T8)=0,"",IF(ISBLANK(A8),"pair ID 입력",IF(COUNTIFS($A$5:$A$34,A8)&gt;1,"중복 ID",IF(OR(ISBLANK(B8),ISBLANK(C8),ISBLANK(D8),ISBLANK(E8),ISBLANK(F8),ISBLANK(G8),ISBLANK(H8),ISBLANK(I8),ISBLANK(J8),ISBLANK(K8),ISBLANK(L8),ISBLANK(M8),ISBLANK(N8),ISBLANK(O8),ISBLANK(P8),ISBLANK(Q8),ISBLANK(R8),ISBLANK(S8)),"필수값 입력",IF(AND(OR(AND(C8=1,K8=2),AND(C8=2,K8=1)),IF(ISNUMBER(F8),AND(F8&gt;=0),FALSE),IF(ISNUMBER(N8),AND(N8&gt;=0),FALSE),IF(ISNUMBER(G8),AND(G8&gt;=0,MOD(G8,1)=0),FALSE),IF(ISNUMBER(H8),AND(H8&gt;=0,MOD(H8,1)=0),FALSE),IF(ISNUMBER(I8),AND(I8&gt;=0,MOD(I8,1)=0),FALSE),IF(ISNUMBER(J8),AND(J8&gt;=0,MOD(J8,1)=0),FALSE),IF(ISNUMBER(O8),AND(O8&gt;=0,MOD(O8,1)=0),FALSE),IF(ISNUMBER(P8),AND(P8&gt;=0,MOD(P8,1)=0),FALSE),IF(ISNUMBER(Q8),AND(Q8&gt;=0,MOD(Q8,1)=0),FALSE),IF(ISNUMBER(R8),AND(R8&gt;=0,MOD(R8,1)=0),FALSE),S8="FIELD_MEASUREMENT"),"유효 쌍","입력 확인")))))</x:f>
      </x:c>
      <x:c r="V8" s="18" t="str">
        <x:f>IF(U8="유효 쌍",F8,"")</x:f>
      </x:c>
      <x:c r="W8" s="18" t="str">
        <x:f>IF(U8="유효 쌍",N8,"")</x:f>
      </x:c>
      <x:c r="X8" s="18" t="str">
        <x:f>IF(U8="유효 쌍",V8-W8,"")</x:f>
      </x:c>
    </x:row>
    <x:row r="9" ht="22" customHeight="1">
      <x:c r="A9" s="13"/>
      <x:c r="B9" s="13"/>
      <x:c r="C9" s="13"/>
      <x:c r="D9" s="13"/>
      <x:c r="E9" s="13"/>
      <x:c r="F9" s="16"/>
      <x:c r="G9" s="13"/>
      <x:c r="H9" s="13"/>
      <x:c r="I9" s="13"/>
      <x:c r="J9" s="13"/>
      <x:c r="K9" s="13"/>
      <x:c r="L9" s="13"/>
      <x:c r="M9" s="13"/>
      <x:c r="N9" s="16"/>
      <x:c r="O9" s="13"/>
      <x:c r="P9" s="13"/>
      <x:c r="Q9" s="13"/>
      <x:c r="R9" s="13"/>
      <x:c r="S9" s="13"/>
      <x:c r="T9" s="13"/>
      <x:c r="U9" s="14" t="str">
        <x:f>IF(COUNTA(A9:T9)=0,"",IF(ISBLANK(A9),"pair ID 입력",IF(COUNTIFS($A$5:$A$34,A9)&gt;1,"중복 ID",IF(OR(ISBLANK(B9),ISBLANK(C9),ISBLANK(D9),ISBLANK(E9),ISBLANK(F9),ISBLANK(G9),ISBLANK(H9),ISBLANK(I9),ISBLANK(J9),ISBLANK(K9),ISBLANK(L9),ISBLANK(M9),ISBLANK(N9),ISBLANK(O9),ISBLANK(P9),ISBLANK(Q9),ISBLANK(R9),ISBLANK(S9)),"필수값 입력",IF(AND(OR(AND(C9=1,K9=2),AND(C9=2,K9=1)),IF(ISNUMBER(F9),AND(F9&gt;=0),FALSE),IF(ISNUMBER(N9),AND(N9&gt;=0),FALSE),IF(ISNUMBER(G9),AND(G9&gt;=0,MOD(G9,1)=0),FALSE),IF(ISNUMBER(H9),AND(H9&gt;=0,MOD(H9,1)=0),FALSE),IF(ISNUMBER(I9),AND(I9&gt;=0,MOD(I9,1)=0),FALSE),IF(ISNUMBER(J9),AND(J9&gt;=0,MOD(J9,1)=0),FALSE),IF(ISNUMBER(O9),AND(O9&gt;=0,MOD(O9,1)=0),FALSE),IF(ISNUMBER(P9),AND(P9&gt;=0,MOD(P9,1)=0),FALSE),IF(ISNUMBER(Q9),AND(Q9&gt;=0,MOD(Q9,1)=0),FALSE),IF(ISNUMBER(R9),AND(R9&gt;=0,MOD(R9,1)=0),FALSE),S9="FIELD_MEASUREMENT"),"유효 쌍","입력 확인")))))</x:f>
      </x:c>
      <x:c r="V9" s="18" t="str">
        <x:f>IF(U9="유효 쌍",F9,"")</x:f>
      </x:c>
      <x:c r="W9" s="18" t="str">
        <x:f>IF(U9="유효 쌍",N9,"")</x:f>
      </x:c>
      <x:c r="X9" s="18" t="str">
        <x:f>IF(U9="유효 쌍",V9-W9,"")</x:f>
      </x:c>
    </x:row>
    <x:row r="10" ht="22" customHeight="1">
      <x:c r="A10" s="13"/>
      <x:c r="B10" s="13"/>
      <x:c r="C10" s="13"/>
      <x:c r="D10" s="13"/>
      <x:c r="E10" s="13"/>
      <x:c r="F10" s="16"/>
      <x:c r="G10" s="13"/>
      <x:c r="H10" s="13"/>
      <x:c r="I10" s="13"/>
      <x:c r="J10" s="13"/>
      <x:c r="K10" s="13"/>
      <x:c r="L10" s="13"/>
      <x:c r="M10" s="13"/>
      <x:c r="N10" s="16"/>
      <x:c r="O10" s="13"/>
      <x:c r="P10" s="13"/>
      <x:c r="Q10" s="13"/>
      <x:c r="R10" s="13"/>
      <x:c r="S10" s="13"/>
      <x:c r="T10" s="13"/>
      <x:c r="U10" s="14" t="str">
        <x:f>IF(COUNTA(A10:T10)=0,"",IF(ISBLANK(A10),"pair ID 입력",IF(COUNTIFS($A$5:$A$34,A10)&gt;1,"중복 ID",IF(OR(ISBLANK(B10),ISBLANK(C10),ISBLANK(D10),ISBLANK(E10),ISBLANK(F10),ISBLANK(G10),ISBLANK(H10),ISBLANK(I10),ISBLANK(J10),ISBLANK(K10),ISBLANK(L10),ISBLANK(M10),ISBLANK(N10),ISBLANK(O10),ISBLANK(P10),ISBLANK(Q10),ISBLANK(R10),ISBLANK(S10)),"필수값 입력",IF(AND(OR(AND(C10=1,K10=2),AND(C10=2,K10=1)),IF(ISNUMBER(F10),AND(F10&gt;=0),FALSE),IF(ISNUMBER(N10),AND(N10&gt;=0),FALSE),IF(ISNUMBER(G10),AND(G10&gt;=0,MOD(G10,1)=0),FALSE),IF(ISNUMBER(H10),AND(H10&gt;=0,MOD(H10,1)=0),FALSE),IF(ISNUMBER(I10),AND(I10&gt;=0,MOD(I10,1)=0),FALSE),IF(ISNUMBER(J10),AND(J10&gt;=0,MOD(J10,1)=0),FALSE),IF(ISNUMBER(O10),AND(O10&gt;=0,MOD(O10,1)=0),FALSE),IF(ISNUMBER(P10),AND(P10&gt;=0,MOD(P10,1)=0),FALSE),IF(ISNUMBER(Q10),AND(Q10&gt;=0,MOD(Q10,1)=0),FALSE),IF(ISNUMBER(R10),AND(R10&gt;=0,MOD(R10,1)=0),FALSE),S10="FIELD_MEASUREMENT"),"유효 쌍","입력 확인")))))</x:f>
      </x:c>
      <x:c r="V10" s="18" t="str">
        <x:f>IF(U10="유효 쌍",F10,"")</x:f>
      </x:c>
      <x:c r="W10" s="18" t="str">
        <x:f>IF(U10="유효 쌍",N10,"")</x:f>
      </x:c>
      <x:c r="X10" s="18" t="str">
        <x:f>IF(U10="유효 쌍",V10-W10,"")</x:f>
      </x:c>
    </x:row>
    <x:row r="11" ht="22" customHeight="1">
      <x:c r="A11" s="13"/>
      <x:c r="B11" s="13"/>
      <x:c r="C11" s="13"/>
      <x:c r="D11" s="13"/>
      <x:c r="E11" s="13"/>
      <x:c r="F11" s="16"/>
      <x:c r="G11" s="13"/>
      <x:c r="H11" s="13"/>
      <x:c r="I11" s="13"/>
      <x:c r="J11" s="13"/>
      <x:c r="K11" s="13"/>
      <x:c r="L11" s="13"/>
      <x:c r="M11" s="13"/>
      <x:c r="N11" s="16"/>
      <x:c r="O11" s="13"/>
      <x:c r="P11" s="13"/>
      <x:c r="Q11" s="13"/>
      <x:c r="R11" s="13"/>
      <x:c r="S11" s="13"/>
      <x:c r="T11" s="13"/>
      <x:c r="U11" s="14" t="str">
        <x:f>IF(COUNTA(A11:T11)=0,"",IF(ISBLANK(A11),"pair ID 입력",IF(COUNTIFS($A$5:$A$34,A11)&gt;1,"중복 ID",IF(OR(ISBLANK(B11),ISBLANK(C11),ISBLANK(D11),ISBLANK(E11),ISBLANK(F11),ISBLANK(G11),ISBLANK(H11),ISBLANK(I11),ISBLANK(J11),ISBLANK(K11),ISBLANK(L11),ISBLANK(M11),ISBLANK(N11),ISBLANK(O11),ISBLANK(P11),ISBLANK(Q11),ISBLANK(R11),ISBLANK(S11)),"필수값 입력",IF(AND(OR(AND(C11=1,K11=2),AND(C11=2,K11=1)),IF(ISNUMBER(F11),AND(F11&gt;=0),FALSE),IF(ISNUMBER(N11),AND(N11&gt;=0),FALSE),IF(ISNUMBER(G11),AND(G11&gt;=0,MOD(G11,1)=0),FALSE),IF(ISNUMBER(H11),AND(H11&gt;=0,MOD(H11,1)=0),FALSE),IF(ISNUMBER(I11),AND(I11&gt;=0,MOD(I11,1)=0),FALSE),IF(ISNUMBER(J11),AND(J11&gt;=0,MOD(J11,1)=0),FALSE),IF(ISNUMBER(O11),AND(O11&gt;=0,MOD(O11,1)=0),FALSE),IF(ISNUMBER(P11),AND(P11&gt;=0,MOD(P11,1)=0),FALSE),IF(ISNUMBER(Q11),AND(Q11&gt;=0,MOD(Q11,1)=0),FALSE),IF(ISNUMBER(R11),AND(R11&gt;=0,MOD(R11,1)=0),FALSE),S11="FIELD_MEASUREMENT"),"유효 쌍","입력 확인")))))</x:f>
      </x:c>
      <x:c r="V11" s="18" t="str">
        <x:f>IF(U11="유효 쌍",F11,"")</x:f>
      </x:c>
      <x:c r="W11" s="18" t="str">
        <x:f>IF(U11="유효 쌍",N11,"")</x:f>
      </x:c>
      <x:c r="X11" s="18" t="str">
        <x:f>IF(U11="유효 쌍",V11-W11,"")</x:f>
      </x:c>
    </x:row>
    <x:row r="12" ht="22" customHeight="1">
      <x:c r="A12" s="13"/>
      <x:c r="B12" s="13"/>
      <x:c r="C12" s="13"/>
      <x:c r="D12" s="13"/>
      <x:c r="E12" s="13"/>
      <x:c r="F12" s="16"/>
      <x:c r="G12" s="13"/>
      <x:c r="H12" s="13"/>
      <x:c r="I12" s="13"/>
      <x:c r="J12" s="13"/>
      <x:c r="K12" s="13"/>
      <x:c r="L12" s="13"/>
      <x:c r="M12" s="13"/>
      <x:c r="N12" s="16"/>
      <x:c r="O12" s="13"/>
      <x:c r="P12" s="13"/>
      <x:c r="Q12" s="13"/>
      <x:c r="R12" s="13"/>
      <x:c r="S12" s="13"/>
      <x:c r="T12" s="13"/>
      <x:c r="U12" s="14" t="str">
        <x:f>IF(COUNTA(A12:T12)=0,"",IF(ISBLANK(A12),"pair ID 입력",IF(COUNTIFS($A$5:$A$34,A12)&gt;1,"중복 ID",IF(OR(ISBLANK(B12),ISBLANK(C12),ISBLANK(D12),ISBLANK(E12),ISBLANK(F12),ISBLANK(G12),ISBLANK(H12),ISBLANK(I12),ISBLANK(J12),ISBLANK(K12),ISBLANK(L12),ISBLANK(M12),ISBLANK(N12),ISBLANK(O12),ISBLANK(P12),ISBLANK(Q12),ISBLANK(R12),ISBLANK(S12)),"필수값 입력",IF(AND(OR(AND(C12=1,K12=2),AND(C12=2,K12=1)),IF(ISNUMBER(F12),AND(F12&gt;=0),FALSE),IF(ISNUMBER(N12),AND(N12&gt;=0),FALSE),IF(ISNUMBER(G12),AND(G12&gt;=0,MOD(G12,1)=0),FALSE),IF(ISNUMBER(H12),AND(H12&gt;=0,MOD(H12,1)=0),FALSE),IF(ISNUMBER(I12),AND(I12&gt;=0,MOD(I12,1)=0),FALSE),IF(ISNUMBER(J12),AND(J12&gt;=0,MOD(J12,1)=0),FALSE),IF(ISNUMBER(O12),AND(O12&gt;=0,MOD(O12,1)=0),FALSE),IF(ISNUMBER(P12),AND(P12&gt;=0,MOD(P12,1)=0),FALSE),IF(ISNUMBER(Q12),AND(Q12&gt;=0,MOD(Q12,1)=0),FALSE),IF(ISNUMBER(R12),AND(R12&gt;=0,MOD(R12,1)=0),FALSE),S12="FIELD_MEASUREMENT"),"유효 쌍","입력 확인")))))</x:f>
      </x:c>
      <x:c r="V12" s="18" t="str">
        <x:f>IF(U12="유효 쌍",F12,"")</x:f>
      </x:c>
      <x:c r="W12" s="18" t="str">
        <x:f>IF(U12="유효 쌍",N12,"")</x:f>
      </x:c>
      <x:c r="X12" s="18" t="str">
        <x:f>IF(U12="유효 쌍",V12-W12,"")</x:f>
      </x:c>
    </x:row>
    <x:row r="13" ht="22" customHeight="1">
      <x:c r="A13" s="13"/>
      <x:c r="B13" s="13"/>
      <x:c r="C13" s="13"/>
      <x:c r="D13" s="13"/>
      <x:c r="E13" s="13"/>
      <x:c r="F13" s="16"/>
      <x:c r="G13" s="13"/>
      <x:c r="H13" s="13"/>
      <x:c r="I13" s="13"/>
      <x:c r="J13" s="13"/>
      <x:c r="K13" s="13"/>
      <x:c r="L13" s="13"/>
      <x:c r="M13" s="13"/>
      <x:c r="N13" s="16"/>
      <x:c r="O13" s="13"/>
      <x:c r="P13" s="13"/>
      <x:c r="Q13" s="13"/>
      <x:c r="R13" s="13"/>
      <x:c r="S13" s="13"/>
      <x:c r="T13" s="13"/>
      <x:c r="U13" s="14" t="str">
        <x:f>IF(COUNTA(A13:T13)=0,"",IF(ISBLANK(A13),"pair ID 입력",IF(COUNTIFS($A$5:$A$34,A13)&gt;1,"중복 ID",IF(OR(ISBLANK(B13),ISBLANK(C13),ISBLANK(D13),ISBLANK(E13),ISBLANK(F13),ISBLANK(G13),ISBLANK(H13),ISBLANK(I13),ISBLANK(J13),ISBLANK(K13),ISBLANK(L13),ISBLANK(M13),ISBLANK(N13),ISBLANK(O13),ISBLANK(P13),ISBLANK(Q13),ISBLANK(R13),ISBLANK(S13)),"필수값 입력",IF(AND(OR(AND(C13=1,K13=2),AND(C13=2,K13=1)),IF(ISNUMBER(F13),AND(F13&gt;=0),FALSE),IF(ISNUMBER(N13),AND(N13&gt;=0),FALSE),IF(ISNUMBER(G13),AND(G13&gt;=0,MOD(G13,1)=0),FALSE),IF(ISNUMBER(H13),AND(H13&gt;=0,MOD(H13,1)=0),FALSE),IF(ISNUMBER(I13),AND(I13&gt;=0,MOD(I13,1)=0),FALSE),IF(ISNUMBER(J13),AND(J13&gt;=0,MOD(J13,1)=0),FALSE),IF(ISNUMBER(O13),AND(O13&gt;=0,MOD(O13,1)=0),FALSE),IF(ISNUMBER(P13),AND(P13&gt;=0,MOD(P13,1)=0),FALSE),IF(ISNUMBER(Q13),AND(Q13&gt;=0,MOD(Q13,1)=0),FALSE),IF(ISNUMBER(R13),AND(R13&gt;=0,MOD(R13,1)=0),FALSE),S13="FIELD_MEASUREMENT"),"유효 쌍","입력 확인")))))</x:f>
      </x:c>
      <x:c r="V13" s="18" t="str">
        <x:f>IF(U13="유효 쌍",F13,"")</x:f>
      </x:c>
      <x:c r="W13" s="18" t="str">
        <x:f>IF(U13="유효 쌍",N13,"")</x:f>
      </x:c>
      <x:c r="X13" s="18" t="str">
        <x:f>IF(U13="유효 쌍",V13-W13,"")</x:f>
      </x:c>
    </x:row>
    <x:row r="14" ht="22" customHeight="1">
      <x:c r="A14" s="13"/>
      <x:c r="B14" s="13"/>
      <x:c r="C14" s="13"/>
      <x:c r="D14" s="13"/>
      <x:c r="E14" s="13"/>
      <x:c r="F14" s="16"/>
      <x:c r="G14" s="13"/>
      <x:c r="H14" s="13"/>
      <x:c r="I14" s="13"/>
      <x:c r="J14" s="13"/>
      <x:c r="K14" s="13"/>
      <x:c r="L14" s="13"/>
      <x:c r="M14" s="13"/>
      <x:c r="N14" s="16"/>
      <x:c r="O14" s="13"/>
      <x:c r="P14" s="13"/>
      <x:c r="Q14" s="13"/>
      <x:c r="R14" s="13"/>
      <x:c r="S14" s="13"/>
      <x:c r="T14" s="13"/>
      <x:c r="U14" s="14" t="str">
        <x:f>IF(COUNTA(A14:T14)=0,"",IF(ISBLANK(A14),"pair ID 입력",IF(COUNTIFS($A$5:$A$34,A14)&gt;1,"중복 ID",IF(OR(ISBLANK(B14),ISBLANK(C14),ISBLANK(D14),ISBLANK(E14),ISBLANK(F14),ISBLANK(G14),ISBLANK(H14),ISBLANK(I14),ISBLANK(J14),ISBLANK(K14),ISBLANK(L14),ISBLANK(M14),ISBLANK(N14),ISBLANK(O14),ISBLANK(P14),ISBLANK(Q14),ISBLANK(R14),ISBLANK(S14)),"필수값 입력",IF(AND(OR(AND(C14=1,K14=2),AND(C14=2,K14=1)),IF(ISNUMBER(F14),AND(F14&gt;=0),FALSE),IF(ISNUMBER(N14),AND(N14&gt;=0),FALSE),IF(ISNUMBER(G14),AND(G14&gt;=0,MOD(G14,1)=0),FALSE),IF(ISNUMBER(H14),AND(H14&gt;=0,MOD(H14,1)=0),FALSE),IF(ISNUMBER(I14),AND(I14&gt;=0,MOD(I14,1)=0),FALSE),IF(ISNUMBER(J14),AND(J14&gt;=0,MOD(J14,1)=0),FALSE),IF(ISNUMBER(O14),AND(O14&gt;=0,MOD(O14,1)=0),FALSE),IF(ISNUMBER(P14),AND(P14&gt;=0,MOD(P14,1)=0),FALSE),IF(ISNUMBER(Q14),AND(Q14&gt;=0,MOD(Q14,1)=0),FALSE),IF(ISNUMBER(R14),AND(R14&gt;=0,MOD(R14,1)=0),FALSE),S14="FIELD_MEASUREMENT"),"유효 쌍","입력 확인")))))</x:f>
      </x:c>
      <x:c r="V14" s="18" t="str">
        <x:f>IF(U14="유효 쌍",F14,"")</x:f>
      </x:c>
      <x:c r="W14" s="18" t="str">
        <x:f>IF(U14="유효 쌍",N14,"")</x:f>
      </x:c>
      <x:c r="X14" s="18" t="str">
        <x:f>IF(U14="유효 쌍",V14-W14,"")</x:f>
      </x:c>
    </x:row>
    <x:row r="15" ht="22" customHeight="1">
      <x:c r="A15" s="13"/>
      <x:c r="B15" s="13"/>
      <x:c r="C15" s="13"/>
      <x:c r="D15" s="13"/>
      <x:c r="E15" s="13"/>
      <x:c r="F15" s="16"/>
      <x:c r="G15" s="13"/>
      <x:c r="H15" s="13"/>
      <x:c r="I15" s="13"/>
      <x:c r="J15" s="13"/>
      <x:c r="K15" s="13"/>
      <x:c r="L15" s="13"/>
      <x:c r="M15" s="13"/>
      <x:c r="N15" s="16"/>
      <x:c r="O15" s="13"/>
      <x:c r="P15" s="13"/>
      <x:c r="Q15" s="13"/>
      <x:c r="R15" s="13"/>
      <x:c r="S15" s="13"/>
      <x:c r="T15" s="13"/>
      <x:c r="U15" s="14" t="str">
        <x:f>IF(COUNTA(A15:T15)=0,"",IF(ISBLANK(A15),"pair ID 입력",IF(COUNTIFS($A$5:$A$34,A15)&gt;1,"중복 ID",IF(OR(ISBLANK(B15),ISBLANK(C15),ISBLANK(D15),ISBLANK(E15),ISBLANK(F15),ISBLANK(G15),ISBLANK(H15),ISBLANK(I15),ISBLANK(J15),ISBLANK(K15),ISBLANK(L15),ISBLANK(M15),ISBLANK(N15),ISBLANK(O15),ISBLANK(P15),ISBLANK(Q15),ISBLANK(R15),ISBLANK(S15)),"필수값 입력",IF(AND(OR(AND(C15=1,K15=2),AND(C15=2,K15=1)),IF(ISNUMBER(F15),AND(F15&gt;=0),FALSE),IF(ISNUMBER(N15),AND(N15&gt;=0),FALSE),IF(ISNUMBER(G15),AND(G15&gt;=0,MOD(G15,1)=0),FALSE),IF(ISNUMBER(H15),AND(H15&gt;=0,MOD(H15,1)=0),FALSE),IF(ISNUMBER(I15),AND(I15&gt;=0,MOD(I15,1)=0),FALSE),IF(ISNUMBER(J15),AND(J15&gt;=0,MOD(J15,1)=0),FALSE),IF(ISNUMBER(O15),AND(O15&gt;=0,MOD(O15,1)=0),FALSE),IF(ISNUMBER(P15),AND(P15&gt;=0,MOD(P15,1)=0),FALSE),IF(ISNUMBER(Q15),AND(Q15&gt;=0,MOD(Q15,1)=0),FALSE),IF(ISNUMBER(R15),AND(R15&gt;=0,MOD(R15,1)=0),FALSE),S15="FIELD_MEASUREMENT"),"유효 쌍","입력 확인")))))</x:f>
      </x:c>
      <x:c r="V15" s="18" t="str">
        <x:f>IF(U15="유효 쌍",F15,"")</x:f>
      </x:c>
      <x:c r="W15" s="18" t="str">
        <x:f>IF(U15="유효 쌍",N15,"")</x:f>
      </x:c>
      <x:c r="X15" s="18" t="str">
        <x:f>IF(U15="유효 쌍",V15-W15,"")</x:f>
      </x:c>
    </x:row>
    <x:row r="16" ht="22" customHeight="1">
      <x:c r="A16" s="13"/>
      <x:c r="B16" s="13"/>
      <x:c r="C16" s="13"/>
      <x:c r="D16" s="13"/>
      <x:c r="E16" s="13"/>
      <x:c r="F16" s="16"/>
      <x:c r="G16" s="13"/>
      <x:c r="H16" s="13"/>
      <x:c r="I16" s="13"/>
      <x:c r="J16" s="13"/>
      <x:c r="K16" s="13"/>
      <x:c r="L16" s="13"/>
      <x:c r="M16" s="13"/>
      <x:c r="N16" s="16"/>
      <x:c r="O16" s="13"/>
      <x:c r="P16" s="13"/>
      <x:c r="Q16" s="13"/>
      <x:c r="R16" s="13"/>
      <x:c r="S16" s="13"/>
      <x:c r="T16" s="13"/>
      <x:c r="U16" s="14" t="str">
        <x:f>IF(COUNTA(A16:T16)=0,"",IF(ISBLANK(A16),"pair ID 입력",IF(COUNTIFS($A$5:$A$34,A16)&gt;1,"중복 ID",IF(OR(ISBLANK(B16),ISBLANK(C16),ISBLANK(D16),ISBLANK(E16),ISBLANK(F16),ISBLANK(G16),ISBLANK(H16),ISBLANK(I16),ISBLANK(J16),ISBLANK(K16),ISBLANK(L16),ISBLANK(M16),ISBLANK(N16),ISBLANK(O16),ISBLANK(P16),ISBLANK(Q16),ISBLANK(R16),ISBLANK(S16)),"필수값 입력",IF(AND(OR(AND(C16=1,K16=2),AND(C16=2,K16=1)),IF(ISNUMBER(F16),AND(F16&gt;=0),FALSE),IF(ISNUMBER(N16),AND(N16&gt;=0),FALSE),IF(ISNUMBER(G16),AND(G16&gt;=0,MOD(G16,1)=0),FALSE),IF(ISNUMBER(H16),AND(H16&gt;=0,MOD(H16,1)=0),FALSE),IF(ISNUMBER(I16),AND(I16&gt;=0,MOD(I16,1)=0),FALSE),IF(ISNUMBER(J16),AND(J16&gt;=0,MOD(J16,1)=0),FALSE),IF(ISNUMBER(O16),AND(O16&gt;=0,MOD(O16,1)=0),FALSE),IF(ISNUMBER(P16),AND(P16&gt;=0,MOD(P16,1)=0),FALSE),IF(ISNUMBER(Q16),AND(Q16&gt;=0,MOD(Q16,1)=0),FALSE),IF(ISNUMBER(R16),AND(R16&gt;=0,MOD(R16,1)=0),FALSE),S16="FIELD_MEASUREMENT"),"유효 쌍","입력 확인")))))</x:f>
      </x:c>
      <x:c r="V16" s="18" t="str">
        <x:f>IF(U16="유효 쌍",F16,"")</x:f>
      </x:c>
      <x:c r="W16" s="18" t="str">
        <x:f>IF(U16="유효 쌍",N16,"")</x:f>
      </x:c>
      <x:c r="X16" s="18" t="str">
        <x:f>IF(U16="유효 쌍",V16-W16,"")</x:f>
      </x:c>
    </x:row>
    <x:row r="17" ht="22" customHeight="1">
      <x:c r="A17" s="13"/>
      <x:c r="B17" s="13"/>
      <x:c r="C17" s="13"/>
      <x:c r="D17" s="13"/>
      <x:c r="E17" s="13"/>
      <x:c r="F17" s="16"/>
      <x:c r="G17" s="13"/>
      <x:c r="H17" s="13"/>
      <x:c r="I17" s="13"/>
      <x:c r="J17" s="13"/>
      <x:c r="K17" s="13"/>
      <x:c r="L17" s="13"/>
      <x:c r="M17" s="13"/>
      <x:c r="N17" s="16"/>
      <x:c r="O17" s="13"/>
      <x:c r="P17" s="13"/>
      <x:c r="Q17" s="13"/>
      <x:c r="R17" s="13"/>
      <x:c r="S17" s="13"/>
      <x:c r="T17" s="13"/>
      <x:c r="U17" s="14" t="str">
        <x:f>IF(COUNTA(A17:T17)=0,"",IF(ISBLANK(A17),"pair ID 입력",IF(COUNTIFS($A$5:$A$34,A17)&gt;1,"중복 ID",IF(OR(ISBLANK(B17),ISBLANK(C17),ISBLANK(D17),ISBLANK(E17),ISBLANK(F17),ISBLANK(G17),ISBLANK(H17),ISBLANK(I17),ISBLANK(J17),ISBLANK(K17),ISBLANK(L17),ISBLANK(M17),ISBLANK(N17),ISBLANK(O17),ISBLANK(P17),ISBLANK(Q17),ISBLANK(R17),ISBLANK(S17)),"필수값 입력",IF(AND(OR(AND(C17=1,K17=2),AND(C17=2,K17=1)),IF(ISNUMBER(F17),AND(F17&gt;=0),FALSE),IF(ISNUMBER(N17),AND(N17&gt;=0),FALSE),IF(ISNUMBER(G17),AND(G17&gt;=0,MOD(G17,1)=0),FALSE),IF(ISNUMBER(H17),AND(H17&gt;=0,MOD(H17,1)=0),FALSE),IF(ISNUMBER(I17),AND(I17&gt;=0,MOD(I17,1)=0),FALSE),IF(ISNUMBER(J17),AND(J17&gt;=0,MOD(J17,1)=0),FALSE),IF(ISNUMBER(O17),AND(O17&gt;=0,MOD(O17,1)=0),FALSE),IF(ISNUMBER(P17),AND(P17&gt;=0,MOD(P17,1)=0),FALSE),IF(ISNUMBER(Q17),AND(Q17&gt;=0,MOD(Q17,1)=0),FALSE),IF(ISNUMBER(R17),AND(R17&gt;=0,MOD(R17,1)=0),FALSE),S17="FIELD_MEASUREMENT"),"유효 쌍","입력 확인")))))</x:f>
      </x:c>
      <x:c r="V17" s="18" t="str">
        <x:f>IF(U17="유효 쌍",F17,"")</x:f>
      </x:c>
      <x:c r="W17" s="18" t="str">
        <x:f>IF(U17="유효 쌍",N17,"")</x:f>
      </x:c>
      <x:c r="X17" s="18" t="str">
        <x:f>IF(U17="유효 쌍",V17-W17,"")</x:f>
      </x:c>
    </x:row>
    <x:row r="18" ht="22" customHeight="1">
      <x:c r="A18" s="13"/>
      <x:c r="B18" s="13"/>
      <x:c r="C18" s="13"/>
      <x:c r="D18" s="13"/>
      <x:c r="E18" s="13"/>
      <x:c r="F18" s="16"/>
      <x:c r="G18" s="13"/>
      <x:c r="H18" s="13"/>
      <x:c r="I18" s="13"/>
      <x:c r="J18" s="13"/>
      <x:c r="K18" s="13"/>
      <x:c r="L18" s="13"/>
      <x:c r="M18" s="13"/>
      <x:c r="N18" s="16"/>
      <x:c r="O18" s="13"/>
      <x:c r="P18" s="13"/>
      <x:c r="Q18" s="13"/>
      <x:c r="R18" s="13"/>
      <x:c r="S18" s="13"/>
      <x:c r="T18" s="13"/>
      <x:c r="U18" s="14" t="str">
        <x:f>IF(COUNTA(A18:T18)=0,"",IF(ISBLANK(A18),"pair ID 입력",IF(COUNTIFS($A$5:$A$34,A18)&gt;1,"중복 ID",IF(OR(ISBLANK(B18),ISBLANK(C18),ISBLANK(D18),ISBLANK(E18),ISBLANK(F18),ISBLANK(G18),ISBLANK(H18),ISBLANK(I18),ISBLANK(J18),ISBLANK(K18),ISBLANK(L18),ISBLANK(M18),ISBLANK(N18),ISBLANK(O18),ISBLANK(P18),ISBLANK(Q18),ISBLANK(R18),ISBLANK(S18)),"필수값 입력",IF(AND(OR(AND(C18=1,K18=2),AND(C18=2,K18=1)),IF(ISNUMBER(F18),AND(F18&gt;=0),FALSE),IF(ISNUMBER(N18),AND(N18&gt;=0),FALSE),IF(ISNUMBER(G18),AND(G18&gt;=0,MOD(G18,1)=0),FALSE),IF(ISNUMBER(H18),AND(H18&gt;=0,MOD(H18,1)=0),FALSE),IF(ISNUMBER(I18),AND(I18&gt;=0,MOD(I18,1)=0),FALSE),IF(ISNUMBER(J18),AND(J18&gt;=0,MOD(J18,1)=0),FALSE),IF(ISNUMBER(O18),AND(O18&gt;=0,MOD(O18,1)=0),FALSE),IF(ISNUMBER(P18),AND(P18&gt;=0,MOD(P18,1)=0),FALSE),IF(ISNUMBER(Q18),AND(Q18&gt;=0,MOD(Q18,1)=0),FALSE),IF(ISNUMBER(R18),AND(R18&gt;=0,MOD(R18,1)=0),FALSE),S18="FIELD_MEASUREMENT"),"유효 쌍","입력 확인")))))</x:f>
      </x:c>
      <x:c r="V18" s="18" t="str">
        <x:f>IF(U18="유효 쌍",F18,"")</x:f>
      </x:c>
      <x:c r="W18" s="18" t="str">
        <x:f>IF(U18="유효 쌍",N18,"")</x:f>
      </x:c>
      <x:c r="X18" s="18" t="str">
        <x:f>IF(U18="유효 쌍",V18-W18,"")</x:f>
      </x:c>
    </x:row>
    <x:row r="19" ht="22" customHeight="1">
      <x:c r="A19" s="13"/>
      <x:c r="B19" s="13"/>
      <x:c r="C19" s="13"/>
      <x:c r="D19" s="13"/>
      <x:c r="E19" s="13"/>
      <x:c r="F19" s="16"/>
      <x:c r="G19" s="13"/>
      <x:c r="H19" s="13"/>
      <x:c r="I19" s="13"/>
      <x:c r="J19" s="13"/>
      <x:c r="K19" s="13"/>
      <x:c r="L19" s="13"/>
      <x:c r="M19" s="13"/>
      <x:c r="N19" s="16"/>
      <x:c r="O19" s="13"/>
      <x:c r="P19" s="13"/>
      <x:c r="Q19" s="13"/>
      <x:c r="R19" s="13"/>
      <x:c r="S19" s="13"/>
      <x:c r="T19" s="13"/>
      <x:c r="U19" s="14" t="str">
        <x:f>IF(COUNTA(A19:T19)=0,"",IF(ISBLANK(A19),"pair ID 입력",IF(COUNTIFS($A$5:$A$34,A19)&gt;1,"중복 ID",IF(OR(ISBLANK(B19),ISBLANK(C19),ISBLANK(D19),ISBLANK(E19),ISBLANK(F19),ISBLANK(G19),ISBLANK(H19),ISBLANK(I19),ISBLANK(J19),ISBLANK(K19),ISBLANK(L19),ISBLANK(M19),ISBLANK(N19),ISBLANK(O19),ISBLANK(P19),ISBLANK(Q19),ISBLANK(R19),ISBLANK(S19)),"필수값 입력",IF(AND(OR(AND(C19=1,K19=2),AND(C19=2,K19=1)),IF(ISNUMBER(F19),AND(F19&gt;=0),FALSE),IF(ISNUMBER(N19),AND(N19&gt;=0),FALSE),IF(ISNUMBER(G19),AND(G19&gt;=0,MOD(G19,1)=0),FALSE),IF(ISNUMBER(H19),AND(H19&gt;=0,MOD(H19,1)=0),FALSE),IF(ISNUMBER(I19),AND(I19&gt;=0,MOD(I19,1)=0),FALSE),IF(ISNUMBER(J19),AND(J19&gt;=0,MOD(J19,1)=0),FALSE),IF(ISNUMBER(O19),AND(O19&gt;=0,MOD(O19,1)=0),FALSE),IF(ISNUMBER(P19),AND(P19&gt;=0,MOD(P19,1)=0),FALSE),IF(ISNUMBER(Q19),AND(Q19&gt;=0,MOD(Q19,1)=0),FALSE),IF(ISNUMBER(R19),AND(R19&gt;=0,MOD(R19,1)=0),FALSE),S19="FIELD_MEASUREMENT"),"유효 쌍","입력 확인")))))</x:f>
      </x:c>
      <x:c r="V19" s="18" t="str">
        <x:f>IF(U19="유효 쌍",F19,"")</x:f>
      </x:c>
      <x:c r="W19" s="18" t="str">
        <x:f>IF(U19="유효 쌍",N19,"")</x:f>
      </x:c>
      <x:c r="X19" s="18" t="str">
        <x:f>IF(U19="유효 쌍",V19-W19,"")</x:f>
      </x:c>
    </x:row>
    <x:row r="20" ht="22" customHeight="1">
      <x:c r="A20" s="13"/>
      <x:c r="B20" s="13"/>
      <x:c r="C20" s="13"/>
      <x:c r="D20" s="13"/>
      <x:c r="E20" s="13"/>
      <x:c r="F20" s="16"/>
      <x:c r="G20" s="13"/>
      <x:c r="H20" s="13"/>
      <x:c r="I20" s="13"/>
      <x:c r="J20" s="13"/>
      <x:c r="K20" s="13"/>
      <x:c r="L20" s="13"/>
      <x:c r="M20" s="13"/>
      <x:c r="N20" s="16"/>
      <x:c r="O20" s="13"/>
      <x:c r="P20" s="13"/>
      <x:c r="Q20" s="13"/>
      <x:c r="R20" s="13"/>
      <x:c r="S20" s="13"/>
      <x:c r="T20" s="13"/>
      <x:c r="U20" s="14" t="str">
        <x:f>IF(COUNTA(A20:T20)=0,"",IF(ISBLANK(A20),"pair ID 입력",IF(COUNTIFS($A$5:$A$34,A20)&gt;1,"중복 ID",IF(OR(ISBLANK(B20),ISBLANK(C20),ISBLANK(D20),ISBLANK(E20),ISBLANK(F20),ISBLANK(G20),ISBLANK(H20),ISBLANK(I20),ISBLANK(J20),ISBLANK(K20),ISBLANK(L20),ISBLANK(M20),ISBLANK(N20),ISBLANK(O20),ISBLANK(P20),ISBLANK(Q20),ISBLANK(R20),ISBLANK(S20)),"필수값 입력",IF(AND(OR(AND(C20=1,K20=2),AND(C20=2,K20=1)),IF(ISNUMBER(F20),AND(F20&gt;=0),FALSE),IF(ISNUMBER(N20),AND(N20&gt;=0),FALSE),IF(ISNUMBER(G20),AND(G20&gt;=0,MOD(G20,1)=0),FALSE),IF(ISNUMBER(H20),AND(H20&gt;=0,MOD(H20,1)=0),FALSE),IF(ISNUMBER(I20),AND(I20&gt;=0,MOD(I20,1)=0),FALSE),IF(ISNUMBER(J20),AND(J20&gt;=0,MOD(J20,1)=0),FALSE),IF(ISNUMBER(O20),AND(O20&gt;=0,MOD(O20,1)=0),FALSE),IF(ISNUMBER(P20),AND(P20&gt;=0,MOD(P20,1)=0),FALSE),IF(ISNUMBER(Q20),AND(Q20&gt;=0,MOD(Q20,1)=0),FALSE),IF(ISNUMBER(R20),AND(R20&gt;=0,MOD(R20,1)=0),FALSE),S20="FIELD_MEASUREMENT"),"유효 쌍","입력 확인")))))</x:f>
      </x:c>
      <x:c r="V20" s="18" t="str">
        <x:f>IF(U20="유효 쌍",F20,"")</x:f>
      </x:c>
      <x:c r="W20" s="18" t="str">
        <x:f>IF(U20="유효 쌍",N20,"")</x:f>
      </x:c>
      <x:c r="X20" s="18" t="str">
        <x:f>IF(U20="유효 쌍",V20-W20,"")</x:f>
      </x:c>
    </x:row>
    <x:row r="21" ht="22" customHeight="1">
      <x:c r="A21" s="13"/>
      <x:c r="B21" s="13"/>
      <x:c r="C21" s="13"/>
      <x:c r="D21" s="13"/>
      <x:c r="E21" s="13"/>
      <x:c r="F21" s="16"/>
      <x:c r="G21" s="13"/>
      <x:c r="H21" s="13"/>
      <x:c r="I21" s="13"/>
      <x:c r="J21" s="13"/>
      <x:c r="K21" s="13"/>
      <x:c r="L21" s="13"/>
      <x:c r="M21" s="13"/>
      <x:c r="N21" s="16"/>
      <x:c r="O21" s="13"/>
      <x:c r="P21" s="13"/>
      <x:c r="Q21" s="13"/>
      <x:c r="R21" s="13"/>
      <x:c r="S21" s="13"/>
      <x:c r="T21" s="13"/>
      <x:c r="U21" s="14" t="str">
        <x:f>IF(COUNTA(A21:T21)=0,"",IF(ISBLANK(A21),"pair ID 입력",IF(COUNTIFS($A$5:$A$34,A21)&gt;1,"중복 ID",IF(OR(ISBLANK(B21),ISBLANK(C21),ISBLANK(D21),ISBLANK(E21),ISBLANK(F21),ISBLANK(G21),ISBLANK(H21),ISBLANK(I21),ISBLANK(J21),ISBLANK(K21),ISBLANK(L21),ISBLANK(M21),ISBLANK(N21),ISBLANK(O21),ISBLANK(P21),ISBLANK(Q21),ISBLANK(R21),ISBLANK(S21)),"필수값 입력",IF(AND(OR(AND(C21=1,K21=2),AND(C21=2,K21=1)),IF(ISNUMBER(F21),AND(F21&gt;=0),FALSE),IF(ISNUMBER(N21),AND(N21&gt;=0),FALSE),IF(ISNUMBER(G21),AND(G21&gt;=0,MOD(G21,1)=0),FALSE),IF(ISNUMBER(H21),AND(H21&gt;=0,MOD(H21,1)=0),FALSE),IF(ISNUMBER(I21),AND(I21&gt;=0,MOD(I21,1)=0),FALSE),IF(ISNUMBER(J21),AND(J21&gt;=0,MOD(J21,1)=0),FALSE),IF(ISNUMBER(O21),AND(O21&gt;=0,MOD(O21,1)=0),FALSE),IF(ISNUMBER(P21),AND(P21&gt;=0,MOD(P21,1)=0),FALSE),IF(ISNUMBER(Q21),AND(Q21&gt;=0,MOD(Q21,1)=0),FALSE),IF(ISNUMBER(R21),AND(R21&gt;=0,MOD(R21,1)=0),FALSE),S21="FIELD_MEASUREMENT"),"유효 쌍","입력 확인")))))</x:f>
      </x:c>
      <x:c r="V21" s="18" t="str">
        <x:f>IF(U21="유효 쌍",F21,"")</x:f>
      </x:c>
      <x:c r="W21" s="18" t="str">
        <x:f>IF(U21="유효 쌍",N21,"")</x:f>
      </x:c>
      <x:c r="X21" s="18" t="str">
        <x:f>IF(U21="유효 쌍",V21-W21,"")</x:f>
      </x:c>
    </x:row>
    <x:row r="22" ht="22" customHeight="1">
      <x:c r="A22" s="13"/>
      <x:c r="B22" s="13"/>
      <x:c r="C22" s="13"/>
      <x:c r="D22" s="13"/>
      <x:c r="E22" s="13"/>
      <x:c r="F22" s="16"/>
      <x:c r="G22" s="13"/>
      <x:c r="H22" s="13"/>
      <x:c r="I22" s="13"/>
      <x:c r="J22" s="13"/>
      <x:c r="K22" s="13"/>
      <x:c r="L22" s="13"/>
      <x:c r="M22" s="13"/>
      <x:c r="N22" s="16"/>
      <x:c r="O22" s="13"/>
      <x:c r="P22" s="13"/>
      <x:c r="Q22" s="13"/>
      <x:c r="R22" s="13"/>
      <x:c r="S22" s="13"/>
      <x:c r="T22" s="13"/>
      <x:c r="U22" s="14" t="str">
        <x:f>IF(COUNTA(A22:T22)=0,"",IF(ISBLANK(A22),"pair ID 입력",IF(COUNTIFS($A$5:$A$34,A22)&gt;1,"중복 ID",IF(OR(ISBLANK(B22),ISBLANK(C22),ISBLANK(D22),ISBLANK(E22),ISBLANK(F22),ISBLANK(G22),ISBLANK(H22),ISBLANK(I22),ISBLANK(J22),ISBLANK(K22),ISBLANK(L22),ISBLANK(M22),ISBLANK(N22),ISBLANK(O22),ISBLANK(P22),ISBLANK(Q22),ISBLANK(R22),ISBLANK(S22)),"필수값 입력",IF(AND(OR(AND(C22=1,K22=2),AND(C22=2,K22=1)),IF(ISNUMBER(F22),AND(F22&gt;=0),FALSE),IF(ISNUMBER(N22),AND(N22&gt;=0),FALSE),IF(ISNUMBER(G22),AND(G22&gt;=0,MOD(G22,1)=0),FALSE),IF(ISNUMBER(H22),AND(H22&gt;=0,MOD(H22,1)=0),FALSE),IF(ISNUMBER(I22),AND(I22&gt;=0,MOD(I22,1)=0),FALSE),IF(ISNUMBER(J22),AND(J22&gt;=0,MOD(J22,1)=0),FALSE),IF(ISNUMBER(O22),AND(O22&gt;=0,MOD(O22,1)=0),FALSE),IF(ISNUMBER(P22),AND(P22&gt;=0,MOD(P22,1)=0),FALSE),IF(ISNUMBER(Q22),AND(Q22&gt;=0,MOD(Q22,1)=0),FALSE),IF(ISNUMBER(R22),AND(R22&gt;=0,MOD(R22,1)=0),FALSE),S22="FIELD_MEASUREMENT"),"유효 쌍","입력 확인")))))</x:f>
      </x:c>
      <x:c r="V22" s="18" t="str">
        <x:f>IF(U22="유효 쌍",F22,"")</x:f>
      </x:c>
      <x:c r="W22" s="18" t="str">
        <x:f>IF(U22="유효 쌍",N22,"")</x:f>
      </x:c>
      <x:c r="X22" s="18" t="str">
        <x:f>IF(U22="유효 쌍",V22-W22,"")</x:f>
      </x:c>
    </x:row>
    <x:row r="23" ht="22" customHeight="1">
      <x:c r="A23" s="13"/>
      <x:c r="B23" s="13"/>
      <x:c r="C23" s="13"/>
      <x:c r="D23" s="13"/>
      <x:c r="E23" s="13"/>
      <x:c r="F23" s="16"/>
      <x:c r="G23" s="13"/>
      <x:c r="H23" s="13"/>
      <x:c r="I23" s="13"/>
      <x:c r="J23" s="13"/>
      <x:c r="K23" s="13"/>
      <x:c r="L23" s="13"/>
      <x:c r="M23" s="13"/>
      <x:c r="N23" s="16"/>
      <x:c r="O23" s="13"/>
      <x:c r="P23" s="13"/>
      <x:c r="Q23" s="13"/>
      <x:c r="R23" s="13"/>
      <x:c r="S23" s="13"/>
      <x:c r="T23" s="13"/>
      <x:c r="U23" s="14" t="str">
        <x:f>IF(COUNTA(A23:T23)=0,"",IF(ISBLANK(A23),"pair ID 입력",IF(COUNTIFS($A$5:$A$34,A23)&gt;1,"중복 ID",IF(OR(ISBLANK(B23),ISBLANK(C23),ISBLANK(D23),ISBLANK(E23),ISBLANK(F23),ISBLANK(G23),ISBLANK(H23),ISBLANK(I23),ISBLANK(J23),ISBLANK(K23),ISBLANK(L23),ISBLANK(M23),ISBLANK(N23),ISBLANK(O23),ISBLANK(P23),ISBLANK(Q23),ISBLANK(R23),ISBLANK(S23)),"필수값 입력",IF(AND(OR(AND(C23=1,K23=2),AND(C23=2,K23=1)),IF(ISNUMBER(F23),AND(F23&gt;=0),FALSE),IF(ISNUMBER(N23),AND(N23&gt;=0),FALSE),IF(ISNUMBER(G23),AND(G23&gt;=0,MOD(G23,1)=0),FALSE),IF(ISNUMBER(H23),AND(H23&gt;=0,MOD(H23,1)=0),FALSE),IF(ISNUMBER(I23),AND(I23&gt;=0,MOD(I23,1)=0),FALSE),IF(ISNUMBER(J23),AND(J23&gt;=0,MOD(J23,1)=0),FALSE),IF(ISNUMBER(O23),AND(O23&gt;=0,MOD(O23,1)=0),FALSE),IF(ISNUMBER(P23),AND(P23&gt;=0,MOD(P23,1)=0),FALSE),IF(ISNUMBER(Q23),AND(Q23&gt;=0,MOD(Q23,1)=0),FALSE),IF(ISNUMBER(R23),AND(R23&gt;=0,MOD(R23,1)=0),FALSE),S23="FIELD_MEASUREMENT"),"유효 쌍","입력 확인")))))</x:f>
      </x:c>
      <x:c r="V23" s="18" t="str">
        <x:f>IF(U23="유효 쌍",F23,"")</x:f>
      </x:c>
      <x:c r="W23" s="18" t="str">
        <x:f>IF(U23="유효 쌍",N23,"")</x:f>
      </x:c>
      <x:c r="X23" s="18" t="str">
        <x:f>IF(U23="유효 쌍",V23-W23,"")</x:f>
      </x:c>
    </x:row>
    <x:row r="24" ht="22" customHeight="1">
      <x:c r="A24" s="13"/>
      <x:c r="B24" s="13"/>
      <x:c r="C24" s="13"/>
      <x:c r="D24" s="13"/>
      <x:c r="E24" s="13"/>
      <x:c r="F24" s="16"/>
      <x:c r="G24" s="13"/>
      <x:c r="H24" s="13"/>
      <x:c r="I24" s="13"/>
      <x:c r="J24" s="13"/>
      <x:c r="K24" s="13"/>
      <x:c r="L24" s="13"/>
      <x:c r="M24" s="13"/>
      <x:c r="N24" s="16"/>
      <x:c r="O24" s="13"/>
      <x:c r="P24" s="13"/>
      <x:c r="Q24" s="13"/>
      <x:c r="R24" s="13"/>
      <x:c r="S24" s="13"/>
      <x:c r="T24" s="13"/>
      <x:c r="U24" s="14" t="str">
        <x:f>IF(COUNTA(A24:T24)=0,"",IF(ISBLANK(A24),"pair ID 입력",IF(COUNTIFS($A$5:$A$34,A24)&gt;1,"중복 ID",IF(OR(ISBLANK(B24),ISBLANK(C24),ISBLANK(D24),ISBLANK(E24),ISBLANK(F24),ISBLANK(G24),ISBLANK(H24),ISBLANK(I24),ISBLANK(J24),ISBLANK(K24),ISBLANK(L24),ISBLANK(M24),ISBLANK(N24),ISBLANK(O24),ISBLANK(P24),ISBLANK(Q24),ISBLANK(R24),ISBLANK(S24)),"필수값 입력",IF(AND(OR(AND(C24=1,K24=2),AND(C24=2,K24=1)),IF(ISNUMBER(F24),AND(F24&gt;=0),FALSE),IF(ISNUMBER(N24),AND(N24&gt;=0),FALSE),IF(ISNUMBER(G24),AND(G24&gt;=0,MOD(G24,1)=0),FALSE),IF(ISNUMBER(H24),AND(H24&gt;=0,MOD(H24,1)=0),FALSE),IF(ISNUMBER(I24),AND(I24&gt;=0,MOD(I24,1)=0),FALSE),IF(ISNUMBER(J24),AND(J24&gt;=0,MOD(J24,1)=0),FALSE),IF(ISNUMBER(O24),AND(O24&gt;=0,MOD(O24,1)=0),FALSE),IF(ISNUMBER(P24),AND(P24&gt;=0,MOD(P24,1)=0),FALSE),IF(ISNUMBER(Q24),AND(Q24&gt;=0,MOD(Q24,1)=0),FALSE),IF(ISNUMBER(R24),AND(R24&gt;=0,MOD(R24,1)=0),FALSE),S24="FIELD_MEASUREMENT"),"유효 쌍","입력 확인")))))</x:f>
      </x:c>
      <x:c r="V24" s="18" t="str">
        <x:f>IF(U24="유효 쌍",F24,"")</x:f>
      </x:c>
      <x:c r="W24" s="18" t="str">
        <x:f>IF(U24="유효 쌍",N24,"")</x:f>
      </x:c>
      <x:c r="X24" s="18" t="str">
        <x:f>IF(U24="유효 쌍",V24-W24,"")</x:f>
      </x:c>
    </x:row>
    <x:row r="25" ht="22" customHeight="1">
      <x:c r="A25" s="13"/>
      <x:c r="B25" s="13"/>
      <x:c r="C25" s="13"/>
      <x:c r="D25" s="13"/>
      <x:c r="E25" s="13"/>
      <x:c r="F25" s="16"/>
      <x:c r="G25" s="13"/>
      <x:c r="H25" s="13"/>
      <x:c r="I25" s="13"/>
      <x:c r="J25" s="13"/>
      <x:c r="K25" s="13"/>
      <x:c r="L25" s="13"/>
      <x:c r="M25" s="13"/>
      <x:c r="N25" s="16"/>
      <x:c r="O25" s="13"/>
      <x:c r="P25" s="13"/>
      <x:c r="Q25" s="13"/>
      <x:c r="R25" s="13"/>
      <x:c r="S25" s="13"/>
      <x:c r="T25" s="13"/>
      <x:c r="U25" s="14" t="str">
        <x:f>IF(COUNTA(A25:T25)=0,"",IF(ISBLANK(A25),"pair ID 입력",IF(COUNTIFS($A$5:$A$34,A25)&gt;1,"중복 ID",IF(OR(ISBLANK(B25),ISBLANK(C25),ISBLANK(D25),ISBLANK(E25),ISBLANK(F25),ISBLANK(G25),ISBLANK(H25),ISBLANK(I25),ISBLANK(J25),ISBLANK(K25),ISBLANK(L25),ISBLANK(M25),ISBLANK(N25),ISBLANK(O25),ISBLANK(P25),ISBLANK(Q25),ISBLANK(R25),ISBLANK(S25)),"필수값 입력",IF(AND(OR(AND(C25=1,K25=2),AND(C25=2,K25=1)),IF(ISNUMBER(F25),AND(F25&gt;=0),FALSE),IF(ISNUMBER(N25),AND(N25&gt;=0),FALSE),IF(ISNUMBER(G25),AND(G25&gt;=0,MOD(G25,1)=0),FALSE),IF(ISNUMBER(H25),AND(H25&gt;=0,MOD(H25,1)=0),FALSE),IF(ISNUMBER(I25),AND(I25&gt;=0,MOD(I25,1)=0),FALSE),IF(ISNUMBER(J25),AND(J25&gt;=0,MOD(J25,1)=0),FALSE),IF(ISNUMBER(O25),AND(O25&gt;=0,MOD(O25,1)=0),FALSE),IF(ISNUMBER(P25),AND(P25&gt;=0,MOD(P25,1)=0),FALSE),IF(ISNUMBER(Q25),AND(Q25&gt;=0,MOD(Q25,1)=0),FALSE),IF(ISNUMBER(R25),AND(R25&gt;=0,MOD(R25,1)=0),FALSE),S25="FIELD_MEASUREMENT"),"유효 쌍","입력 확인")))))</x:f>
      </x:c>
      <x:c r="V25" s="18" t="str">
        <x:f>IF(U25="유효 쌍",F25,"")</x:f>
      </x:c>
      <x:c r="W25" s="18" t="str">
        <x:f>IF(U25="유효 쌍",N25,"")</x:f>
      </x:c>
      <x:c r="X25" s="18" t="str">
        <x:f>IF(U25="유효 쌍",V25-W25,"")</x:f>
      </x:c>
    </x:row>
    <x:row r="26" ht="22" customHeight="1">
      <x:c r="A26" s="13"/>
      <x:c r="B26" s="13"/>
      <x:c r="C26" s="13"/>
      <x:c r="D26" s="13"/>
      <x:c r="E26" s="13"/>
      <x:c r="F26" s="16"/>
      <x:c r="G26" s="13"/>
      <x:c r="H26" s="13"/>
      <x:c r="I26" s="13"/>
      <x:c r="J26" s="13"/>
      <x:c r="K26" s="13"/>
      <x:c r="L26" s="13"/>
      <x:c r="M26" s="13"/>
      <x:c r="N26" s="16"/>
      <x:c r="O26" s="13"/>
      <x:c r="P26" s="13"/>
      <x:c r="Q26" s="13"/>
      <x:c r="R26" s="13"/>
      <x:c r="S26" s="13"/>
      <x:c r="T26" s="13"/>
      <x:c r="U26" s="14" t="str">
        <x:f>IF(COUNTA(A26:T26)=0,"",IF(ISBLANK(A26),"pair ID 입력",IF(COUNTIFS($A$5:$A$34,A26)&gt;1,"중복 ID",IF(OR(ISBLANK(B26),ISBLANK(C26),ISBLANK(D26),ISBLANK(E26),ISBLANK(F26),ISBLANK(G26),ISBLANK(H26),ISBLANK(I26),ISBLANK(J26),ISBLANK(K26),ISBLANK(L26),ISBLANK(M26),ISBLANK(N26),ISBLANK(O26),ISBLANK(P26),ISBLANK(Q26),ISBLANK(R26),ISBLANK(S26)),"필수값 입력",IF(AND(OR(AND(C26=1,K26=2),AND(C26=2,K26=1)),IF(ISNUMBER(F26),AND(F26&gt;=0),FALSE),IF(ISNUMBER(N26),AND(N26&gt;=0),FALSE),IF(ISNUMBER(G26),AND(G26&gt;=0,MOD(G26,1)=0),FALSE),IF(ISNUMBER(H26),AND(H26&gt;=0,MOD(H26,1)=0),FALSE),IF(ISNUMBER(I26),AND(I26&gt;=0,MOD(I26,1)=0),FALSE),IF(ISNUMBER(J26),AND(J26&gt;=0,MOD(J26,1)=0),FALSE),IF(ISNUMBER(O26),AND(O26&gt;=0,MOD(O26,1)=0),FALSE),IF(ISNUMBER(P26),AND(P26&gt;=0,MOD(P26,1)=0),FALSE),IF(ISNUMBER(Q26),AND(Q26&gt;=0,MOD(Q26,1)=0),FALSE),IF(ISNUMBER(R26),AND(R26&gt;=0,MOD(R26,1)=0),FALSE),S26="FIELD_MEASUREMENT"),"유효 쌍","입력 확인")))))</x:f>
      </x:c>
      <x:c r="V26" s="18" t="str">
        <x:f>IF(U26="유효 쌍",F26,"")</x:f>
      </x:c>
      <x:c r="W26" s="18" t="str">
        <x:f>IF(U26="유효 쌍",N26,"")</x:f>
      </x:c>
      <x:c r="X26" s="18" t="str">
        <x:f>IF(U26="유효 쌍",V26-W26,"")</x:f>
      </x:c>
    </x:row>
    <x:row r="27" ht="22" customHeight="1">
      <x:c r="A27" s="13"/>
      <x:c r="B27" s="13"/>
      <x:c r="C27" s="13"/>
      <x:c r="D27" s="13"/>
      <x:c r="E27" s="13"/>
      <x:c r="F27" s="16"/>
      <x:c r="G27" s="13"/>
      <x:c r="H27" s="13"/>
      <x:c r="I27" s="13"/>
      <x:c r="J27" s="13"/>
      <x:c r="K27" s="13"/>
      <x:c r="L27" s="13"/>
      <x:c r="M27" s="13"/>
      <x:c r="N27" s="16"/>
      <x:c r="O27" s="13"/>
      <x:c r="P27" s="13"/>
      <x:c r="Q27" s="13"/>
      <x:c r="R27" s="13"/>
      <x:c r="S27" s="13"/>
      <x:c r="T27" s="13"/>
      <x:c r="U27" s="14" t="str">
        <x:f>IF(COUNTA(A27:T27)=0,"",IF(ISBLANK(A27),"pair ID 입력",IF(COUNTIFS($A$5:$A$34,A27)&gt;1,"중복 ID",IF(OR(ISBLANK(B27),ISBLANK(C27),ISBLANK(D27),ISBLANK(E27),ISBLANK(F27),ISBLANK(G27),ISBLANK(H27),ISBLANK(I27),ISBLANK(J27),ISBLANK(K27),ISBLANK(L27),ISBLANK(M27),ISBLANK(N27),ISBLANK(O27),ISBLANK(P27),ISBLANK(Q27),ISBLANK(R27),ISBLANK(S27)),"필수값 입력",IF(AND(OR(AND(C27=1,K27=2),AND(C27=2,K27=1)),IF(ISNUMBER(F27),AND(F27&gt;=0),FALSE),IF(ISNUMBER(N27),AND(N27&gt;=0),FALSE),IF(ISNUMBER(G27),AND(G27&gt;=0,MOD(G27,1)=0),FALSE),IF(ISNUMBER(H27),AND(H27&gt;=0,MOD(H27,1)=0),FALSE),IF(ISNUMBER(I27),AND(I27&gt;=0,MOD(I27,1)=0),FALSE),IF(ISNUMBER(J27),AND(J27&gt;=0,MOD(J27,1)=0),FALSE),IF(ISNUMBER(O27),AND(O27&gt;=0,MOD(O27,1)=0),FALSE),IF(ISNUMBER(P27),AND(P27&gt;=0,MOD(P27,1)=0),FALSE),IF(ISNUMBER(Q27),AND(Q27&gt;=0,MOD(Q27,1)=0),FALSE),IF(ISNUMBER(R27),AND(R27&gt;=0,MOD(R27,1)=0),FALSE),S27="FIELD_MEASUREMENT"),"유효 쌍","입력 확인")))))</x:f>
      </x:c>
      <x:c r="V27" s="18" t="str">
        <x:f>IF(U27="유효 쌍",F27,"")</x:f>
      </x:c>
      <x:c r="W27" s="18" t="str">
        <x:f>IF(U27="유효 쌍",N27,"")</x:f>
      </x:c>
      <x:c r="X27" s="18" t="str">
        <x:f>IF(U27="유효 쌍",V27-W27,"")</x:f>
      </x:c>
    </x:row>
    <x:row r="28" ht="22" customHeight="1">
      <x:c r="A28" s="13"/>
      <x:c r="B28" s="13"/>
      <x:c r="C28" s="13"/>
      <x:c r="D28" s="13"/>
      <x:c r="E28" s="13"/>
      <x:c r="F28" s="16"/>
      <x:c r="G28" s="13"/>
      <x:c r="H28" s="13"/>
      <x:c r="I28" s="13"/>
      <x:c r="J28" s="13"/>
      <x:c r="K28" s="13"/>
      <x:c r="L28" s="13"/>
      <x:c r="M28" s="13"/>
      <x:c r="N28" s="16"/>
      <x:c r="O28" s="13"/>
      <x:c r="P28" s="13"/>
      <x:c r="Q28" s="13"/>
      <x:c r="R28" s="13"/>
      <x:c r="S28" s="13"/>
      <x:c r="T28" s="13"/>
      <x:c r="U28" s="14" t="str">
        <x:f>IF(COUNTA(A28:T28)=0,"",IF(ISBLANK(A28),"pair ID 입력",IF(COUNTIFS($A$5:$A$34,A28)&gt;1,"중복 ID",IF(OR(ISBLANK(B28),ISBLANK(C28),ISBLANK(D28),ISBLANK(E28),ISBLANK(F28),ISBLANK(G28),ISBLANK(H28),ISBLANK(I28),ISBLANK(J28),ISBLANK(K28),ISBLANK(L28),ISBLANK(M28),ISBLANK(N28),ISBLANK(O28),ISBLANK(P28),ISBLANK(Q28),ISBLANK(R28),ISBLANK(S28)),"필수값 입력",IF(AND(OR(AND(C28=1,K28=2),AND(C28=2,K28=1)),IF(ISNUMBER(F28),AND(F28&gt;=0),FALSE),IF(ISNUMBER(N28),AND(N28&gt;=0),FALSE),IF(ISNUMBER(G28),AND(G28&gt;=0,MOD(G28,1)=0),FALSE),IF(ISNUMBER(H28),AND(H28&gt;=0,MOD(H28,1)=0),FALSE),IF(ISNUMBER(I28),AND(I28&gt;=0,MOD(I28,1)=0),FALSE),IF(ISNUMBER(J28),AND(J28&gt;=0,MOD(J28,1)=0),FALSE),IF(ISNUMBER(O28),AND(O28&gt;=0,MOD(O28,1)=0),FALSE),IF(ISNUMBER(P28),AND(P28&gt;=0,MOD(P28,1)=0),FALSE),IF(ISNUMBER(Q28),AND(Q28&gt;=0,MOD(Q28,1)=0),FALSE),IF(ISNUMBER(R28),AND(R28&gt;=0,MOD(R28,1)=0),FALSE),S28="FIELD_MEASUREMENT"),"유효 쌍","입력 확인")))))</x:f>
      </x:c>
      <x:c r="V28" s="18" t="str">
        <x:f>IF(U28="유효 쌍",F28,"")</x:f>
      </x:c>
      <x:c r="W28" s="18" t="str">
        <x:f>IF(U28="유효 쌍",N28,"")</x:f>
      </x:c>
      <x:c r="X28" s="18" t="str">
        <x:f>IF(U28="유효 쌍",V28-W28,"")</x:f>
      </x:c>
    </x:row>
    <x:row r="29" ht="22" customHeight="1">
      <x:c r="A29" s="13"/>
      <x:c r="B29" s="13"/>
      <x:c r="C29" s="13"/>
      <x:c r="D29" s="13"/>
      <x:c r="E29" s="13"/>
      <x:c r="F29" s="16"/>
      <x:c r="G29" s="13"/>
      <x:c r="H29" s="13"/>
      <x:c r="I29" s="13"/>
      <x:c r="J29" s="13"/>
      <x:c r="K29" s="13"/>
      <x:c r="L29" s="13"/>
      <x:c r="M29" s="13"/>
      <x:c r="N29" s="16"/>
      <x:c r="O29" s="13"/>
      <x:c r="P29" s="13"/>
      <x:c r="Q29" s="13"/>
      <x:c r="R29" s="13"/>
      <x:c r="S29" s="13"/>
      <x:c r="T29" s="13"/>
      <x:c r="U29" s="14" t="str">
        <x:f>IF(COUNTA(A29:T29)=0,"",IF(ISBLANK(A29),"pair ID 입력",IF(COUNTIFS($A$5:$A$34,A29)&gt;1,"중복 ID",IF(OR(ISBLANK(B29),ISBLANK(C29),ISBLANK(D29),ISBLANK(E29),ISBLANK(F29),ISBLANK(G29),ISBLANK(H29),ISBLANK(I29),ISBLANK(J29),ISBLANK(K29),ISBLANK(L29),ISBLANK(M29),ISBLANK(N29),ISBLANK(O29),ISBLANK(P29),ISBLANK(Q29),ISBLANK(R29),ISBLANK(S29)),"필수값 입력",IF(AND(OR(AND(C29=1,K29=2),AND(C29=2,K29=1)),IF(ISNUMBER(F29),AND(F29&gt;=0),FALSE),IF(ISNUMBER(N29),AND(N29&gt;=0),FALSE),IF(ISNUMBER(G29),AND(G29&gt;=0,MOD(G29,1)=0),FALSE),IF(ISNUMBER(H29),AND(H29&gt;=0,MOD(H29,1)=0),FALSE),IF(ISNUMBER(I29),AND(I29&gt;=0,MOD(I29,1)=0),FALSE),IF(ISNUMBER(J29),AND(J29&gt;=0,MOD(J29,1)=0),FALSE),IF(ISNUMBER(O29),AND(O29&gt;=0,MOD(O29,1)=0),FALSE),IF(ISNUMBER(P29),AND(P29&gt;=0,MOD(P29,1)=0),FALSE),IF(ISNUMBER(Q29),AND(Q29&gt;=0,MOD(Q29,1)=0),FALSE),IF(ISNUMBER(R29),AND(R29&gt;=0,MOD(R29,1)=0),FALSE),S29="FIELD_MEASUREMENT"),"유효 쌍","입력 확인")))))</x:f>
      </x:c>
      <x:c r="V29" s="18" t="str">
        <x:f>IF(U29="유효 쌍",F29,"")</x:f>
      </x:c>
      <x:c r="W29" s="18" t="str">
        <x:f>IF(U29="유효 쌍",N29,"")</x:f>
      </x:c>
      <x:c r="X29" s="18" t="str">
        <x:f>IF(U29="유효 쌍",V29-W29,"")</x:f>
      </x:c>
    </x:row>
    <x:row r="30" ht="22" customHeight="1">
      <x:c r="A30" s="13"/>
      <x:c r="B30" s="13"/>
      <x:c r="C30" s="13"/>
      <x:c r="D30" s="13"/>
      <x:c r="E30" s="13"/>
      <x:c r="F30" s="16"/>
      <x:c r="G30" s="13"/>
      <x:c r="H30" s="13"/>
      <x:c r="I30" s="13"/>
      <x:c r="J30" s="13"/>
      <x:c r="K30" s="13"/>
      <x:c r="L30" s="13"/>
      <x:c r="M30" s="13"/>
      <x:c r="N30" s="16"/>
      <x:c r="O30" s="13"/>
      <x:c r="P30" s="13"/>
      <x:c r="Q30" s="13"/>
      <x:c r="R30" s="13"/>
      <x:c r="S30" s="13"/>
      <x:c r="T30" s="13"/>
      <x:c r="U30" s="14" t="str">
        <x:f>IF(COUNTA(A30:T30)=0,"",IF(ISBLANK(A30),"pair ID 입력",IF(COUNTIFS($A$5:$A$34,A30)&gt;1,"중복 ID",IF(OR(ISBLANK(B30),ISBLANK(C30),ISBLANK(D30),ISBLANK(E30),ISBLANK(F30),ISBLANK(G30),ISBLANK(H30),ISBLANK(I30),ISBLANK(J30),ISBLANK(K30),ISBLANK(L30),ISBLANK(M30),ISBLANK(N30),ISBLANK(O30),ISBLANK(P30),ISBLANK(Q30),ISBLANK(R30),ISBLANK(S30)),"필수값 입력",IF(AND(OR(AND(C30=1,K30=2),AND(C30=2,K30=1)),IF(ISNUMBER(F30),AND(F30&gt;=0),FALSE),IF(ISNUMBER(N30),AND(N30&gt;=0),FALSE),IF(ISNUMBER(G30),AND(G30&gt;=0,MOD(G30,1)=0),FALSE),IF(ISNUMBER(H30),AND(H30&gt;=0,MOD(H30,1)=0),FALSE),IF(ISNUMBER(I30),AND(I30&gt;=0,MOD(I30,1)=0),FALSE),IF(ISNUMBER(J30),AND(J30&gt;=0,MOD(J30,1)=0),FALSE),IF(ISNUMBER(O30),AND(O30&gt;=0,MOD(O30,1)=0),FALSE),IF(ISNUMBER(P30),AND(P30&gt;=0,MOD(P30,1)=0),FALSE),IF(ISNUMBER(Q30),AND(Q30&gt;=0,MOD(Q30,1)=0),FALSE),IF(ISNUMBER(R30),AND(R30&gt;=0,MOD(R30,1)=0),FALSE),S30="FIELD_MEASUREMENT"),"유효 쌍","입력 확인")))))</x:f>
      </x:c>
      <x:c r="V30" s="18" t="str">
        <x:f>IF(U30="유효 쌍",F30,"")</x:f>
      </x:c>
      <x:c r="W30" s="18" t="str">
        <x:f>IF(U30="유효 쌍",N30,"")</x:f>
      </x:c>
      <x:c r="X30" s="18" t="str">
        <x:f>IF(U30="유효 쌍",V30-W30,"")</x:f>
      </x:c>
    </x:row>
    <x:row r="31" ht="22" customHeight="1">
      <x:c r="A31" s="13"/>
      <x:c r="B31" s="13"/>
      <x:c r="C31" s="13"/>
      <x:c r="D31" s="13"/>
      <x:c r="E31" s="13"/>
      <x:c r="F31" s="16"/>
      <x:c r="G31" s="13"/>
      <x:c r="H31" s="13"/>
      <x:c r="I31" s="13"/>
      <x:c r="J31" s="13"/>
      <x:c r="K31" s="13"/>
      <x:c r="L31" s="13"/>
      <x:c r="M31" s="13"/>
      <x:c r="N31" s="16"/>
      <x:c r="O31" s="13"/>
      <x:c r="P31" s="13"/>
      <x:c r="Q31" s="13"/>
      <x:c r="R31" s="13"/>
      <x:c r="S31" s="13"/>
      <x:c r="T31" s="13"/>
      <x:c r="U31" s="14" t="str">
        <x:f>IF(COUNTA(A31:T31)=0,"",IF(ISBLANK(A31),"pair ID 입력",IF(COUNTIFS($A$5:$A$34,A31)&gt;1,"중복 ID",IF(OR(ISBLANK(B31),ISBLANK(C31),ISBLANK(D31),ISBLANK(E31),ISBLANK(F31),ISBLANK(G31),ISBLANK(H31),ISBLANK(I31),ISBLANK(J31),ISBLANK(K31),ISBLANK(L31),ISBLANK(M31),ISBLANK(N31),ISBLANK(O31),ISBLANK(P31),ISBLANK(Q31),ISBLANK(R31),ISBLANK(S31)),"필수값 입력",IF(AND(OR(AND(C31=1,K31=2),AND(C31=2,K31=1)),IF(ISNUMBER(F31),AND(F31&gt;=0),FALSE),IF(ISNUMBER(N31),AND(N31&gt;=0),FALSE),IF(ISNUMBER(G31),AND(G31&gt;=0,MOD(G31,1)=0),FALSE),IF(ISNUMBER(H31),AND(H31&gt;=0,MOD(H31,1)=0),FALSE),IF(ISNUMBER(I31),AND(I31&gt;=0,MOD(I31,1)=0),FALSE),IF(ISNUMBER(J31),AND(J31&gt;=0,MOD(J31,1)=0),FALSE),IF(ISNUMBER(O31),AND(O31&gt;=0,MOD(O31,1)=0),FALSE),IF(ISNUMBER(P31),AND(P31&gt;=0,MOD(P31,1)=0),FALSE),IF(ISNUMBER(Q31),AND(Q31&gt;=0,MOD(Q31,1)=0),FALSE),IF(ISNUMBER(R31),AND(R31&gt;=0,MOD(R31,1)=0),FALSE),S31="FIELD_MEASUREMENT"),"유효 쌍","입력 확인")))))</x:f>
      </x:c>
      <x:c r="V31" s="18" t="str">
        <x:f>IF(U31="유효 쌍",F31,"")</x:f>
      </x:c>
      <x:c r="W31" s="18" t="str">
        <x:f>IF(U31="유효 쌍",N31,"")</x:f>
      </x:c>
      <x:c r="X31" s="18" t="str">
        <x:f>IF(U31="유효 쌍",V31-W31,"")</x:f>
      </x:c>
    </x:row>
    <x:row r="32" ht="22" customHeight="1">
      <x:c r="A32" s="13"/>
      <x:c r="B32" s="13"/>
      <x:c r="C32" s="13"/>
      <x:c r="D32" s="13"/>
      <x:c r="E32" s="13"/>
      <x:c r="F32" s="16"/>
      <x:c r="G32" s="13"/>
      <x:c r="H32" s="13"/>
      <x:c r="I32" s="13"/>
      <x:c r="J32" s="13"/>
      <x:c r="K32" s="13"/>
      <x:c r="L32" s="13"/>
      <x:c r="M32" s="13"/>
      <x:c r="N32" s="16"/>
      <x:c r="O32" s="13"/>
      <x:c r="P32" s="13"/>
      <x:c r="Q32" s="13"/>
      <x:c r="R32" s="13"/>
      <x:c r="S32" s="13"/>
      <x:c r="T32" s="13"/>
      <x:c r="U32" s="14" t="str">
        <x:f>IF(COUNTA(A32:T32)=0,"",IF(ISBLANK(A32),"pair ID 입력",IF(COUNTIFS($A$5:$A$34,A32)&gt;1,"중복 ID",IF(OR(ISBLANK(B32),ISBLANK(C32),ISBLANK(D32),ISBLANK(E32),ISBLANK(F32),ISBLANK(G32),ISBLANK(H32),ISBLANK(I32),ISBLANK(J32),ISBLANK(K32),ISBLANK(L32),ISBLANK(M32),ISBLANK(N32),ISBLANK(O32),ISBLANK(P32),ISBLANK(Q32),ISBLANK(R32),ISBLANK(S32)),"필수값 입력",IF(AND(OR(AND(C32=1,K32=2),AND(C32=2,K32=1)),IF(ISNUMBER(F32),AND(F32&gt;=0),FALSE),IF(ISNUMBER(N32),AND(N32&gt;=0),FALSE),IF(ISNUMBER(G32),AND(G32&gt;=0,MOD(G32,1)=0),FALSE),IF(ISNUMBER(H32),AND(H32&gt;=0,MOD(H32,1)=0),FALSE),IF(ISNUMBER(I32),AND(I32&gt;=0,MOD(I32,1)=0),FALSE),IF(ISNUMBER(J32),AND(J32&gt;=0,MOD(J32,1)=0),FALSE),IF(ISNUMBER(O32),AND(O32&gt;=0,MOD(O32,1)=0),FALSE),IF(ISNUMBER(P32),AND(P32&gt;=0,MOD(P32,1)=0),FALSE),IF(ISNUMBER(Q32),AND(Q32&gt;=0,MOD(Q32,1)=0),FALSE),IF(ISNUMBER(R32),AND(R32&gt;=0,MOD(R32,1)=0),FALSE),S32="FIELD_MEASUREMENT"),"유효 쌍","입력 확인")))))</x:f>
      </x:c>
      <x:c r="V32" s="18" t="str">
        <x:f>IF(U32="유효 쌍",F32,"")</x:f>
      </x:c>
      <x:c r="W32" s="18" t="str">
        <x:f>IF(U32="유효 쌍",N32,"")</x:f>
      </x:c>
      <x:c r="X32" s="18" t="str">
        <x:f>IF(U32="유효 쌍",V32-W32,"")</x:f>
      </x:c>
    </x:row>
    <x:row r="33" ht="22" customHeight="1">
      <x:c r="A33" s="13"/>
      <x:c r="B33" s="13"/>
      <x:c r="C33" s="13"/>
      <x:c r="D33" s="13"/>
      <x:c r="E33" s="13"/>
      <x:c r="F33" s="16"/>
      <x:c r="G33" s="13"/>
      <x:c r="H33" s="13"/>
      <x:c r="I33" s="13"/>
      <x:c r="J33" s="13"/>
      <x:c r="K33" s="13"/>
      <x:c r="L33" s="13"/>
      <x:c r="M33" s="13"/>
      <x:c r="N33" s="16"/>
      <x:c r="O33" s="13"/>
      <x:c r="P33" s="13"/>
      <x:c r="Q33" s="13"/>
      <x:c r="R33" s="13"/>
      <x:c r="S33" s="13"/>
      <x:c r="T33" s="13"/>
      <x:c r="U33" s="14" t="str">
        <x:f>IF(COUNTA(A33:T33)=0,"",IF(ISBLANK(A33),"pair ID 입력",IF(COUNTIFS($A$5:$A$34,A33)&gt;1,"중복 ID",IF(OR(ISBLANK(B33),ISBLANK(C33),ISBLANK(D33),ISBLANK(E33),ISBLANK(F33),ISBLANK(G33),ISBLANK(H33),ISBLANK(I33),ISBLANK(J33),ISBLANK(K33),ISBLANK(L33),ISBLANK(M33),ISBLANK(N33),ISBLANK(O33),ISBLANK(P33),ISBLANK(Q33),ISBLANK(R33),ISBLANK(S33)),"필수값 입력",IF(AND(OR(AND(C33=1,K33=2),AND(C33=2,K33=1)),IF(ISNUMBER(F33),AND(F33&gt;=0),FALSE),IF(ISNUMBER(N33),AND(N33&gt;=0),FALSE),IF(ISNUMBER(G33),AND(G33&gt;=0,MOD(G33,1)=0),FALSE),IF(ISNUMBER(H33),AND(H33&gt;=0,MOD(H33,1)=0),FALSE),IF(ISNUMBER(I33),AND(I33&gt;=0,MOD(I33,1)=0),FALSE),IF(ISNUMBER(J33),AND(J33&gt;=0,MOD(J33,1)=0),FALSE),IF(ISNUMBER(O33),AND(O33&gt;=0,MOD(O33,1)=0),FALSE),IF(ISNUMBER(P33),AND(P33&gt;=0,MOD(P33,1)=0),FALSE),IF(ISNUMBER(Q33),AND(Q33&gt;=0,MOD(Q33,1)=0),FALSE),IF(ISNUMBER(R33),AND(R33&gt;=0,MOD(R33,1)=0),FALSE),S33="FIELD_MEASUREMENT"),"유효 쌍","입력 확인")))))</x:f>
      </x:c>
      <x:c r="V33" s="18" t="str">
        <x:f>IF(U33="유효 쌍",F33,"")</x:f>
      </x:c>
      <x:c r="W33" s="18" t="str">
        <x:f>IF(U33="유효 쌍",N33,"")</x:f>
      </x:c>
      <x:c r="X33" s="18" t="str">
        <x:f>IF(U33="유효 쌍",V33-W33,"")</x:f>
      </x:c>
    </x:row>
    <x:row r="34" ht="22" customHeight="1">
      <x:c r="A34" s="13"/>
      <x:c r="B34" s="13"/>
      <x:c r="C34" s="13"/>
      <x:c r="D34" s="13"/>
      <x:c r="E34" s="13"/>
      <x:c r="F34" s="16"/>
      <x:c r="G34" s="13"/>
      <x:c r="H34" s="13"/>
      <x:c r="I34" s="13"/>
      <x:c r="J34" s="13"/>
      <x:c r="K34" s="13"/>
      <x:c r="L34" s="13"/>
      <x:c r="M34" s="13"/>
      <x:c r="N34" s="16"/>
      <x:c r="O34" s="13"/>
      <x:c r="P34" s="13"/>
      <x:c r="Q34" s="13"/>
      <x:c r="R34" s="13"/>
      <x:c r="S34" s="13"/>
      <x:c r="T34" s="13"/>
      <x:c r="U34" s="14" t="str">
        <x:f>IF(COUNTA(A34:T34)=0,"",IF(ISBLANK(A34),"pair ID 입력",IF(COUNTIFS($A$5:$A$34,A34)&gt;1,"중복 ID",IF(OR(ISBLANK(B34),ISBLANK(C34),ISBLANK(D34),ISBLANK(E34),ISBLANK(F34),ISBLANK(G34),ISBLANK(H34),ISBLANK(I34),ISBLANK(J34),ISBLANK(K34),ISBLANK(L34),ISBLANK(M34),ISBLANK(N34),ISBLANK(O34),ISBLANK(P34),ISBLANK(Q34),ISBLANK(R34),ISBLANK(S34)),"필수값 입력",IF(AND(OR(AND(C34=1,K34=2),AND(C34=2,K34=1)),IF(ISNUMBER(F34),AND(F34&gt;=0),FALSE),IF(ISNUMBER(N34),AND(N34&gt;=0),FALSE),IF(ISNUMBER(G34),AND(G34&gt;=0,MOD(G34,1)=0),FALSE),IF(ISNUMBER(H34),AND(H34&gt;=0,MOD(H34,1)=0),FALSE),IF(ISNUMBER(I34),AND(I34&gt;=0,MOD(I34,1)=0),FALSE),IF(ISNUMBER(J34),AND(J34&gt;=0,MOD(J34,1)=0),FALSE),IF(ISNUMBER(O34),AND(O34&gt;=0,MOD(O34,1)=0),FALSE),IF(ISNUMBER(P34),AND(P34&gt;=0,MOD(P34,1)=0),FALSE),IF(ISNUMBER(Q34),AND(Q34&gt;=0,MOD(Q34,1)=0),FALSE),IF(ISNUMBER(R34),AND(R34&gt;=0,MOD(R34,1)=0),FALSE),S34="FIELD_MEASUREMENT"),"유효 쌍","입력 확인")))))</x:f>
      </x:c>
      <x:c r="V34" s="18" t="str">
        <x:f>IF(U34="유효 쌍",F34,"")</x:f>
      </x:c>
      <x:c r="W34" s="18" t="str">
        <x:f>IF(U34="유효 쌍",N34,"")</x:f>
      </x:c>
      <x:c r="X34" s="18" t="str">
        <x:f>IF(U34="유효 쌍",V34-W34,"")</x:f>
      </x:c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44" customHeight="1">
      <x:c r="A38" s="11" t="str">
        <x:v>연속 결과</x:v>
      </x:c>
      <x:c r="B38" s="11" t="str">
        <x:v>방법 A</x:v>
      </x:c>
      <x:c r="C38" s="11" t="str">
        <x:v>방법 B</x:v>
      </x:c>
      <x:c r="D38" s="11" t="str">
        <x:v>쌍체차 A-B</x:v>
      </x:c>
      <x:c r="E38" s="11" t="str">
        <x:v>정의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22" customHeight="1">
      <x:c r="A39" s="2" t="str">
        <x:v>유효 쌍 수</x:v>
      </x:c>
      <x:c r="B39" s="2" t="n">
        <x:f>D39</x:f>
        <x:v>0</x:v>
      </x:c>
      <x:c r="C39" s="2" t="n">
        <x:f>D39</x:f>
        <x:v>0</x:v>
      </x:c>
      <x:c r="D39" s="2" t="n">
        <x:f>COUNT(X5:X34)</x:f>
        <x:v>0</x:v>
      </x:c>
      <x:c r="E39" s="7" t="str">
        <x:v>고유 ID, 반대 실행 순서, 비음수 수치, FIELD_MEASUREMENT를 모두 만족한 쌍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22" customHeight="1">
      <x:c r="A40" s="2" t="str">
        <x:v>평균 두께 범위(nm)</x:v>
      </x:c>
      <x:c r="B40" s="19" t="str">
        <x:f>IF(D39=0,"",AVERAGE(V5:V34))</x:f>
      </x:c>
      <x:c r="C40" s="19" t="str">
        <x:f>IF(D39=0,"",AVERAGE(W5:W34))</x:f>
      </x:c>
      <x:c r="D40" s="19" t="str">
        <x:f>IF(D39=0,"",AVERAGE(X5:X34))</x:f>
      </x:c>
      <x:c r="E40" s="7" t="str">
        <x:v>동일한 고정 측정점 집합의 max - min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22" customHeight="1">
      <x:c r="A41" s="2" t="str">
        <x:v>표준편차(nm)</x:v>
      </x:c>
      <x:c r="B41" s="19" t="str">
        <x:f>IF(D39&lt;2,"",STDEV(V5:V34))</x:f>
      </x:c>
      <x:c r="C41" s="19" t="str">
        <x:f>IF(D39&lt;2,"",STDEV(W5:W34))</x:f>
      </x:c>
      <x:c r="D41" s="19" t="str">
        <x:f>IF(D39&lt;2,"",STDEV(X5:X34))</x:f>
      </x:c>
      <x:c r="E41" s="7" t="str">
        <x:v>방법별 범위와 쌍체차의 표본 표준편차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22" customHeight="1">
      <x:c r="A42" s="2" t="str">
        <x:v>표준오차(nm)</x:v>
      </x:c>
      <x:c r="B42" s="19"/>
      <x:c r="C42" s="19"/>
      <x:c r="D42" s="19" t="str">
        <x:f>IF(D39&lt;2,"",D41/SQRT(D39))</x:f>
      </x:c>
      <x:c r="E42" s="7" t="str">
        <x:v>SD(delta) / sqrt(n)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22" customHeight="1">
      <x:c r="A43" s="2" t="str">
        <x:v>쌍체 t</x:v>
      </x:c>
      <x:c r="B43" s="19"/>
      <x:c r="C43" s="19"/>
      <x:c r="D43" s="19" t="str">
        <x:f>IF(OR(D39&lt;2,D41=0),"",D40/D42)</x:f>
      </x:c>
      <x:c r="E43" s="7" t="str">
        <x:v>평균(delta) / 표준오차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22" customHeight="1">
      <x:c r="A44" s="2" t="str">
        <x:v>자유도</x:v>
      </x:c>
      <x:c r="B44" s="19"/>
      <x:c r="C44" s="19"/>
      <x:c r="D44" s="20" t="str">
        <x:f>IF(D39&lt;2,"",D39-1)</x:f>
      </x:c>
      <x:c r="E44" s="7" t="str">
        <x:v>n - 1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22" customHeight="1">
      <x:c r="A45" s="2" t="str">
        <x:v>양측 p값</x:v>
      </x:c>
      <x:c r="B45" s="19"/>
      <x:c r="C45" s="19"/>
      <x:c r="D45" s="21" t="str">
        <x:f>IF(OR(D39&lt;2,D41=0),"",TDIST(ABS(D43),D44,2))</x:f>
      </x:c>
      <x:c r="E45" s="7" t="str">
        <x:v>두 방법의 평균 범위 차이가 0이라는 귀무가설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22" customHeight="1">
      <x:c r="A46" s="2" t="str">
        <x:v>효과크기 dz</x:v>
      </x:c>
      <x:c r="B46" s="19"/>
      <x:c r="C46" s="19"/>
      <x:c r="D46" s="19" t="str">
        <x:f>IF(OR(D39&lt;2,D41=0),"",D40/D41)</x:f>
      </x:c>
      <x:c r="E46" s="7" t="str">
        <x:v>평균(delta) / SD(delta)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22" customHeight="1">
      <x:c r="A47" s="2" t="str">
        <x:v>95% CI 하한(nm)</x:v>
      </x:c>
      <x:c r="B47" s="19"/>
      <x:c r="C47" s="19"/>
      <x:c r="D47" s="19" t="str">
        <x:f>IF(OR(D39&lt;2,D41=0),"",D40-_xlfn.T.INV(0.975,D44)*D42)</x:f>
      </x:c>
      <x:c r="E47" s="7" t="str">
        <x:v>평균(delta)의 양측 신뢰구간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22" customHeight="1">
      <x:c r="A48" s="2" t="str">
        <x:v>95% CI 상한(nm)</x:v>
      </x:c>
      <x:c r="B48" s="19"/>
      <x:c r="C48" s="19"/>
      <x:c r="D48" s="19" t="str">
        <x:f>IF(OR(D39&lt;2,D41=0),"",D40+_xlfn.T.INV(0.975,D44)*D42)</x:f>
      </x:c>
      <x:c r="E48" s="7" t="str">
        <x:v>차이 분포, 이상치, 쌍의 독립성을 함께 검토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22" customHeight="1">
      <x:c r="A49" s="2" t="str">
        <x:v>입력 확인 행</x:v>
      </x:c>
      <x:c r="B49" s="2"/>
      <x:c r="C49" s="2"/>
      <x:c r="D49" s="2" t="n">
        <x:f>COUNTIFS(U5:U34,"pair ID 입력")+COUNTIFS(U5:U34,"중복 ID")+COUNTIFS(U5:U34,"필수값 입력")+COUNTIFS(U5:U34,"입력 확인")</x:f>
        <x:v>0</x:v>
      </x:c>
      <x:c r="E49" s="7" t="str">
        <x:v>미완성, 중복, 순서 오류, 음수 또는 자료 구분 오류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34" customHeight="1">
      <x:c r="A50" s="2" t="str">
        <x:v>계산 상태</x:v>
      </x:c>
      <x:c r="B50" s="2"/>
      <x:c r="C50" s="2"/>
      <x:c r="D50" s="2" t="str">
        <x:f>IF(D39=0,"측정값 입력 전",IF(D39&lt;2,"유효 쌍 추가 입력",IF(D41=0,"차이 분산 0: 검정 제외","쌍체 통계 계산됨")))</x:f>
        <x:v>측정값 입력 전</x:v>
      </x:c>
      <x:c r="E50" s="7" t="str">
        <x:v>2쌍 미만 또는 delta 분산 0이면 추론통계를 표시하지 않음</x:v>
      </x:c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44" customHeight="1">
      <x:c r="A54" s="11" t="str">
        <x:v>이산 오류 요약</x:v>
      </x:c>
      <x:c r="B54" s="11" t="str">
        <x:v>방법 A 합계</x:v>
      </x:c>
      <x:c r="C54" s="11" t="str">
        <x:v>방법 B 합계</x:v>
      </x:c>
      <x:c r="D54" s="11" t="str">
        <x:v>A 쌍당 평균</x:v>
      </x:c>
      <x:c r="E54" s="11" t="str">
        <x:v>B 쌍당 평균</x:v>
      </x:c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22" customHeight="1">
      <x:c r="A55" s="2" t="str">
        <x:v>캐리어 안착 오류</x:v>
      </x:c>
      <x:c r="B55" s="20" t="str">
        <x:f>IF($D$39=0,"",SUMIFS(G$5:G$34,$U$5:$U$34,"유효 쌍"))</x:f>
      </x:c>
      <x:c r="C55" s="20" t="str">
        <x:f>IF($D$39=0,"",SUMIFS(O$5:O$34,$U$5:$U$34,"유효 쌍"))</x:f>
      </x:c>
      <x:c r="D55" s="22" t="str">
        <x:f>IF($D$39=0,"",B55/$D$39)</x:f>
      </x:c>
      <x:c r="E55" s="22" t="str">
        <x:f>IF($D$39=0,"",C55/$D$39)</x:f>
      </x:c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22" customHeight="1">
      <x:c r="A56" s="2" t="str">
        <x:v>준비 오류</x:v>
      </x:c>
      <x:c r="B56" s="20" t="str">
        <x:f>IF($D$39=0,"",SUMIFS(H$5:H$34,$U$5:$U$34,"유효 쌍"))</x:f>
      </x:c>
      <x:c r="C56" s="20" t="str">
        <x:f>IF($D$39=0,"",SUMIFS(P$5:P$34,$U$5:$U$34,"유효 쌍"))</x:f>
      </x:c>
      <x:c r="D56" s="22" t="str">
        <x:f>IF($D$39=0,"",B56/$D$39)</x:f>
      </x:c>
      <x:c r="E56" s="22" t="str">
        <x:f>IF($D$39=0,"",C56/$D$39)</x:f>
      </x:c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22" customHeight="1">
      <x:c r="A57" s="2" t="str">
        <x:v>Coupon 위치 오류</x:v>
      </x:c>
      <x:c r="B57" s="20" t="str">
        <x:f>IF($D$39=0,"",SUMIFS(I$5:I$34,$U$5:$U$34,"유효 쌍"))</x:f>
      </x:c>
      <x:c r="C57" s="20" t="str">
        <x:f>IF($D$39=0,"",SUMIFS(Q$5:Q$34,$U$5:$U$34,"유효 쌍"))</x:f>
      </x:c>
      <x:c r="D57" s="22" t="str">
        <x:f>IF($D$39=0,"",B57/$D$39)</x:f>
      </x:c>
      <x:c r="E57" s="22" t="str">
        <x:f>IF($D$39=0,"",C57/$D$39)</x:f>
      </x:c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22" customHeight="1">
      <x:c r="A58" s="2" t="str">
        <x:v>Coupon 방향 오류</x:v>
      </x:c>
      <x:c r="B58" s="20" t="str">
        <x:f>IF($D$39=0,"",SUMIFS(J$5:J$34,$U$5:$U$34,"유효 쌍"))</x:f>
      </x:c>
      <x:c r="C58" s="20" t="str">
        <x:f>IF($D$39=0,"",SUMIFS(R$5:R$34,$U$5:$U$34,"유효 쌍"))</x:f>
      </x:c>
      <x:c r="D58" s="22" t="str">
        <x:f>IF($D$39=0,"",B58/$D$39)</x:f>
      </x:c>
      <x:c r="E58" s="22" t="str">
        <x:f>IF($D$39=0,"",C58/$D$39)</x:f>
      </x:c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22" customHeight="1">
      <x:c r="A61" s="17" t="str">
        <x:v>오류 건수는 관찰한 발생 건수다. 확인하지 않은 항목은 0이 아니라 빈칸으로 두며, 해당 행은 유효 쌍에서 제외된다.</x:v>
      </x:c>
      <x:c r="B61" s="17"/>
      <x:c r="C61" s="17"/>
      <x:c r="D61" s="17"/>
      <x:c r="E61" s="17"/>
      <x:c r="F61" s="17"/>
      <x:c r="G61" s="17"/>
      <x:c r="H61" s="17"/>
      <x:c r="I61" s="17"/>
      <x:c r="J61" s="17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</x:sheetData>
  <x:mergeCells>
    <x:mergeCell ref="A1:J1"/>
    <x:mergeCell ref="A2:J2"/>
    <x:mergeCell ref="A61:J61"/>
  </x:mergeCells>
  <x:dataValidations count="13">
    <x:dataValidation type="list" sqref="C5:C34">
      <x:formula1>"1,2"</x:formula1>
    </x:dataValidation>
    <x:dataValidation type="list" sqref="K5:K34">
      <x:formula1>"1,2"</x:formula1>
    </x:dataValidation>
    <x:dataValidation type="list" sqref="S5:S34">
      <x:formula1>"FIELD_MEASUREMENT"</x:formula1>
    </x:dataValidation>
    <x:dataValidation type="decimal" operator="greaterThanOrEqual" sqref="F5:F34">
      <x:formula1>0</x:formula1>
    </x:dataValidation>
    <x:dataValidation type="decimal" operator="greaterThanOrEqual" sqref="N5:N34">
      <x:formula1>0</x:formula1>
    </x:dataValidation>
    <x:dataValidation type="whole" operator="greaterThanOrEqual" sqref="G5:G34">
      <x:formula1>0</x:formula1>
    </x:dataValidation>
    <x:dataValidation type="whole" operator="greaterThanOrEqual" sqref="H5:H34">
      <x:formula1>0</x:formula1>
    </x:dataValidation>
    <x:dataValidation type="whole" operator="greaterThanOrEqual" sqref="I5:I34">
      <x:formula1>0</x:formula1>
    </x:dataValidation>
    <x:dataValidation type="whole" operator="greaterThanOrEqual" sqref="J5:J34">
      <x:formula1>0</x:formula1>
    </x:dataValidation>
    <x:dataValidation type="whole" operator="greaterThanOrEqual" sqref="O5:O34">
      <x:formula1>0</x:formula1>
    </x:dataValidation>
    <x:dataValidation type="whole" operator="greaterThanOrEqual" sqref="P5:P34">
      <x:formula1>0</x:formula1>
    </x:dataValidation>
    <x:dataValidation type="whole" operator="greaterThanOrEqual" sqref="Q5:Q34">
      <x:formula1>0</x:formula1>
    </x:dataValidation>
    <x:dataValidation type="whole" operator="greaterThanOrEqual" sqref="R5:R3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7246c77d44d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3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4" hidden="0" customWidth="1"/>
    <x:col min="10" max="10" width="14" hidden="0" customWidth="1"/>
  </x:cols>
  <x:sheetData>
    <x:row r="1" ht="32" customHeight="1">
      <x:c r="A1" s="4" t="str">
        <x:v>별도 4M 합성 모델 결과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8" t="str">
        <x:v>합성 4,000행, seed 42, 생성 양성 240행, 임계값 0.5. 캐리어/coupon 현장 측정과 별도 자료.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4" customHeight="1">
      <x:c r="A5" s="11" t="str">
        <x:v>모델</x:v>
      </x:c>
      <x:c r="B5" s="11" t="str">
        <x:v>ROC-AUC</x:v>
      </x:c>
      <x:c r="C5" s="11" t="str">
        <x:v>AP</x:v>
      </x:c>
      <x:c r="D5" s="11" t="str">
        <x:v>F1</x:v>
      </x:c>
      <x:c r="E5" s="11" t="str">
        <x:v>TN</x:v>
      </x:c>
      <x:c r="F5" s="11" t="str">
        <x:v>FP</x:v>
      </x:c>
      <x:c r="G5" s="11" t="str">
        <x:v>FN</x:v>
      </x:c>
      <x:c r="H5" s="11" t="str">
        <x:v>TP</x:v>
      </x:c>
      <x:c r="I5" s="11" t="str">
        <x:v>재현율</x:v>
      </x:c>
      <x:c r="J5" s="11" t="str">
        <x:v>정밀도</x:v>
      </x:c>
    </x:row>
    <x:row r="6" ht="22" customHeight="1">
      <x:c r="A6" s="2" t="str">
        <x:v>LogisticRegression</x:v>
      </x:c>
      <x:c r="B6" s="21" t="n">
        <x:v>0.9166</x:v>
      </x:c>
      <x:c r="C6" s="21" t="n">
        <x:v>0.4604</x:v>
      </x:c>
      <x:c r="D6" s="21" t="n">
        <x:v>0.4367</x:v>
      </x:c>
      <x:c r="E6" s="20" t="n">
        <x:v>821</x:v>
      </x:c>
      <x:c r="F6" s="20" t="n">
        <x:v>119</x:v>
      </x:c>
      <x:c r="G6" s="20" t="n">
        <x:v>10</x:v>
      </x:c>
      <x:c r="H6" s="20" t="n">
        <x:v>50</x:v>
      </x:c>
      <x:c r="I6" s="23" t="n">
        <x:f>H6/(G6+H6)</x:f>
        <x:v>0.8333333333333334</x:v>
      </x:c>
      <x:c r="J6" s="23" t="n">
        <x:f>H6/(F6+H6)</x:f>
        <x:v>0.2958579881656805</x:v>
      </x:c>
    </x:row>
    <x:row r="7" ht="22" customHeight="1">
      <x:c r="A7" s="2" t="str">
        <x:v>LightGBM</x:v>
      </x:c>
      <x:c r="B7" s="21" t="n">
        <x:v>0.9035</x:v>
      </x:c>
      <x:c r="C7" s="21" t="n">
        <x:v>0.4849</x:v>
      </x:c>
      <x:c r="D7" s="21" t="n">
        <x:v>0.4522</x:v>
      </x:c>
      <x:c r="E7" s="20" t="n">
        <x:v>911</x:v>
      </x:c>
      <x:c r="F7" s="20" t="n">
        <x:v>29</x:v>
      </x:c>
      <x:c r="G7" s="20" t="n">
        <x:v>34</x:v>
      </x:c>
      <x:c r="H7" s="20" t="n">
        <x:v>26</x:v>
      </x:c>
      <x:c r="I7" s="23" t="n">
        <x:f>H7/(G7+H7)</x:f>
        <x:v>0.43333333333333335</x:v>
      </x:c>
      <x:c r="J7" s="23" t="n">
        <x:f>H7/(F7+H7)</x:f>
        <x:v>0.4727272727272727</x:v>
      </x:c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2" customHeight="1">
      <x:c r="A10" s="24" t="str">
        <x:v>범위: 별도로 생성한 4M 품질 분류 예제다. 이 워크북의 캐리어 안착 또는 witness coupon A/B 결과가 아니다.</x:v>
      </x:c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 ht="22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 ht="22" customHeight="1">
      <x:c r="A12" s="24" t="str">
        <x:v>해석: 합성 데이터의 모델 비교 결과이며 회사 실측 성능, 개선율 또는 배포 효과로 해석하지 않는다.</x:v>
      </x:c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 ht="22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 ht="22" customHeight="1">
      <x:c r="A14" s="17" t="str">
        <x:v>표시 출처: outputs/results.csv(지표), outputs/4m_quality_analysis_data.csv(입력 데이터), outputs/run_metadata.json(seed·분할·패키지 버전). AP는 pr_auc 열의 average precision 값이다.</x:v>
      </x:c>
      <x:c r="B14" s="17"/>
      <x:c r="C14" s="17"/>
      <x:c r="D14" s="17"/>
      <x:c r="E14" s="17"/>
      <x:c r="F14" s="17"/>
      <x:c r="G14" s="17"/>
      <x:c r="H14" s="17"/>
      <x:c r="I14" s="17"/>
      <x:c r="J14" s="17"/>
    </x:row>
    <x:row r="15" ht="22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 ht="22" customHeight="1">
      <x:c r="A16" s="24" t="str">
        <x:v>연결 경계: 01_기록시트와 02_쌍체비교의 FIELD_MEASUREMENT 입력은 이 모델 결과에 자동 연결되지 않는다.</x:v>
      </x:c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 ht="22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 ht="22" customHeight="1">
      <x:c r="A18" s="24" t="str">
        <x:v>FN은 생성 라벨 1을 임계값 0.5 미만으로, FP는 생성 라벨 0을 임계값 이상으로 분류한 건수다. 체크리스트 오류나 회사 생산 결함의 누락·오경보가 아니다. class_weight="balanced"를 쓰므로 0.5를 실제 결함 확률이나 운영 최적 임계값으로 해석하지 않는다.</x:v>
      </x:c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 ht="2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mergeCells>
    <x:mergeCell ref="A1:J1"/>
    <x:mergeCell ref="A3:J3"/>
    <x:mergeCell ref="A10:J11"/>
    <x:mergeCell ref="A12:J13"/>
    <x:mergeCell ref="A14:J15"/>
    <x:mergeCell ref="A16:J17"/>
    <x:mergeCell ref="A18:J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8" hidden="0" customWidth="1"/>
  </x:cols>
  <x:sheetData>
    <x:row r="1" ht="32" customHeight="1">
      <x:c r="A1" s="4" t="str">
        <x:v>캐리어 및 Witness Coupon 기록·계산 기준</x:v>
      </x:c>
      <x:c r="B1" s="4"/>
    </x:row>
    <x:row r="2" ht="22" customHeight="1">
      <x:c r="A2" s="2"/>
      <x:c r="B2" s="2"/>
    </x:row>
    <x:row r="3" ht="46" customHeight="1">
      <x:c r="A3" s="6" t="str">
        <x:v>쌍체 단위</x:v>
      </x:c>
      <x:c r="B3" s="7" t="str">
        <x:v>같은 block에서 비교 가능한 carrier/coupon 조건으로 수행한 방법 A와 B를 하나의 pair_id로 묶는다. pair_id는 입력표에서 고유해야 한다.</x:v>
      </x:c>
    </x:row>
    <x:row r="4" ht="46" customHeight="1">
      <x:c r="A4" s="6" t="str">
        <x:v>실행 순서</x:v>
      </x:c>
      <x:c r="B4" s="7" t="str">
        <x:v>A_order와 B_order는 각각 1 또는 2이며 서로 달라야 한다. AB와 BA 순서를 block에 배분해 순서 효과를 확인한다.</x:v>
      </x:c>
    </x:row>
    <x:row r="5" ht="46" customHeight="1">
      <x:c r="A5" s="6" t="str">
        <x:v>자료 구분</x:v>
      </x:c>
      <x:c r="B5" s="7" t="str">
        <x:v>유효 쌍은 FIELD_MEASUREMENT만 허용한다. RECONSTRUCTED_EXAMPLE은 05_입력예시에만 둔다.</x:v>
      </x:c>
    </x:row>
    <x:row r="6" ht="46" customHeight="1">
      <x:c r="A6" s="6" t="str">
        <x:v>문헌 벤치마크</x:v>
      </x:c>
      <x:c r="B6" s="7" t="str">
        <x:v>LITERATURE_BENCHMARK는 출처별 비교 맥락이며 현장 합계, A/B 통계, 모델 증거와 연결하지 않는다.</x:v>
      </x:c>
    </x:row>
    <x:row r="7" ht="46" customHeight="1">
      <x:c r="A7" s="6" t="str">
        <x:v>캐리어 확인</x:v>
      </x:c>
      <x:c r="B7" s="7" t="str">
        <x:v>안착, 핀, 표면 상태를 실행 전에 확인한다. 오류 건수와 PASS/FAIL 확인 결과를 원자료에 함께 남긴다.</x:v>
      </x:c>
    </x:row>
    <x:row r="8" ht="46" customHeight="1">
      <x:c r="A8" s="6" t="str">
        <x:v>Coupon 위치</x:v>
      </x:c>
      <x:c r="B8" s="7" t="str">
        <x:v>현재 입력은 x/y &gt;= 0, 방향 0도 이상 360도 미만이다. 현장 원점과 좌표계가 다르면 입력 기준과 수식을 먼저 바꾼다.</x:v>
      </x:c>
    </x:row>
    <x:row r="9" ht="46" customHeight="1">
      <x:c r="A9" s="6" t="str">
        <x:v>준비와 재작업</x:v>
      </x:c>
      <x:c r="B9" s="7" t="str">
        <x:v>준비 오류와 재작업 횟수를 분리한다. 관찰하지 않은 오류는 0으로 기록하지 않고 빈칸으로 둔다.</x:v>
      </x:c>
    </x:row>
    <x:row r="10" ht="46" customHeight="1">
      <x:c r="A10" s="6" t="str">
        <x:v>Recipe와 도구</x:v>
      </x:c>
      <x:c r="B10" s="7" t="str">
        <x:v>recipe ID, 측정 도구, 측정 지점 이름을 기록한다. 교정 상태와 측정 절차는 해당 원자료에서 추적한다.</x:v>
      </x:c>
    </x:row>
    <x:row r="11" ht="22" customHeight="1">
      <x:c r="A11" s="2"/>
      <x:c r="B11" s="2"/>
    </x:row>
    <x:row r="12" ht="46" customHeight="1">
      <x:c r="A12" s="6" t="str">
        <x:v>두께 범위</x:v>
      </x:c>
      <x:c r="B12" s="7" t="str">
        <x:v>각 방법에서 동일한 고정 측정점 집합의 두께를 nm로 측정하고 range = max(thickness_nm) - min(thickness_nm)로 계산한다.</x:v>
      </x:c>
    </x:row>
    <x:row r="13" ht="46" customHeight="1">
      <x:c r="A13" s="6" t="str">
        <x:v>쌍체차</x:v>
      </x:c>
      <x:c r="B13" s="7" t="str">
        <x:v>delta_nm = A_thickness_range_nm - B_thickness_range_nm. 양수면 방법 B의 고정점 두께 범위가 더 작다.</x:v>
      </x:c>
    </x:row>
    <x:row r="14" ht="46" customHeight="1">
      <x:c r="A14" s="6" t="str">
        <x:v>수치 유효성</x:v>
      </x:c>
      <x:c r="B14" s="7" t="str">
        <x:v>두께 범위와 모든 오류 건수는 숫자이며 0 이상이어야 한다. 오류 건수는 정수여야 하고, 소수점이 있으면 입력 확인으로 처리한다. 필수 오류 건수가 비면 해당 쌍을 집계하지 않는다.</x:v>
      </x:c>
    </x:row>
    <x:row r="15" ht="46" customHeight="1">
      <x:c r="A15" s="6" t="str">
        <x:v>추론통계</x:v>
      </x:c>
      <x:c r="B15" s="7" t="str">
        <x:v>2쌍 이상이며 SD(delta) &gt; 0일 때 t, 양측 p값, dz와 95% 신뢰구간을 계산한다. 차이 분포와 이상치를 별도로 검토한다.</x:v>
      </x:c>
    </x:row>
    <x:row r="16" ht="22" customHeight="1">
      <x:c r="A16" s="2"/>
      <x:c r="B16" s="2"/>
    </x:row>
    <x:row r="17" ht="46" customHeight="1">
      <x:c r="A17" s="6" t="str">
        <x:v>이산 요약</x:v>
      </x:c>
      <x:c r="B17" s="7" t="str">
        <x:v>유효 쌍만 대상으로 캐리어 안착, 준비, coupon 위치, coupon 방향 오류의 방법별 합계와 쌍당 평균을 계산한다.</x:v>
      </x:c>
    </x:row>
    <x:row r="18" ht="46" customHeight="1">
      <x:c r="A18" s="6" t="str">
        <x:v>빈 입력</x:v>
      </x:c>
      <x:c r="B18" s="7" t="str">
        <x:v>실측 전 입력 영역은 비어 있어야 한다. 0은 확인 결과가 실제로 0건일 때만 입력한다.</x:v>
      </x:c>
    </x:row>
    <x:row r="19" ht="22" customHeight="1">
      <x:c r="A19" s="2"/>
      <x:c r="B19" s="2"/>
    </x:row>
    <x:row r="20" ht="46" customHeight="1">
      <x:c r="A20" s="6" t="str">
        <x:v>4M 출력 출처</x:v>
      </x:c>
      <x:c r="B20" s="7" t="str">
        <x:v>별도 표시 파일: outputs/4m_quality_analysis_data.csv. 평가 지표: outputs/results.csv. 합성 생성 메타데이터와 패키지 버전: outputs/run_metadata.json.</x:v>
      </x:c>
    </x:row>
    <x:row r="21" ht="22" customHeight="1">
      <x:c r="A21" s="2"/>
      <x:c r="B21" s="2"/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0" hidden="0" customWidth="1"/>
    <x:col min="4" max="4" width="16" hidden="0" customWidth="1"/>
    <x:col min="5" max="5" width="15" hidden="0" customWidth="1"/>
    <x:col min="6" max="6" width="19" hidden="0" customWidth="1"/>
    <x:col min="7" max="7" width="19" hidden="0" customWidth="1"/>
    <x:col min="8" max="8" width="17" hidden="0" customWidth="1"/>
    <x:col min="9" max="9" width="19" hidden="0" customWidth="1"/>
    <x:col min="10" max="10" width="21" hidden="0" customWidth="1"/>
    <x:col min="11" max="11" width="10" hidden="0" customWidth="1"/>
    <x:col min="12" max="12" width="16" hidden="0" customWidth="1"/>
    <x:col min="13" max="13" width="15" hidden="0" customWidth="1"/>
    <x:col min="14" max="14" width="19" hidden="0" customWidth="1"/>
    <x:col min="15" max="15" width="19" hidden="0" customWidth="1"/>
    <x:col min="16" max="16" width="17" hidden="0" customWidth="1"/>
    <x:col min="17" max="17" width="19" hidden="0" customWidth="1"/>
    <x:col min="18" max="18" width="21" hidden="0" customWidth="1"/>
    <x:col min="19" max="19" width="30" hidden="0" customWidth="1"/>
    <x:col min="20" max="20" width="34" hidden="0" customWidth="1"/>
  </x:cols>
  <x:sheetData>
    <x:row r="1" ht="32" customHeight="1">
      <x:c r="A1" s="4" t="str">
        <x:v>입력 예시 - 실제 집계 제외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25" t="str">
        <x:v>아래 한 행은 형식 설명용 RECONSTRUCTED_EXAMPLE이다. 02_쌍체비교의 표·수식·합계와 연결되지 않는다.</x:v>
      </x:c>
      <x:c r="B2" s="25"/>
      <x:c r="C2" s="25"/>
      <x:c r="D2" s="25"/>
      <x:c r="E2" s="25"/>
      <x:c r="F2" s="25"/>
      <x:c r="G2" s="25"/>
      <x:c r="H2" s="25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44" customHeight="1">
      <x:c r="A4" s="11" t="str">
        <x:v>pair_id</x:v>
      </x:c>
      <x:c r="B4" s="11" t="str">
        <x:v>block_id</x:v>
      </x:c>
      <x:c r="C4" s="11" t="str">
        <x:v>A_order</x:v>
      </x:c>
      <x:c r="D4" s="11" t="str">
        <x:v>A_carrier_id</x:v>
      </x:c>
      <x:c r="E4" s="11" t="str">
        <x:v>A_coupon_id</x:v>
      </x:c>
      <x:c r="F4" s="11" t="str">
        <x:v>A_thickness_range_nm</x:v>
      </x:c>
      <x:c r="G4" s="11" t="str">
        <x:v>A_carrier_seating_errors</x:v>
      </x:c>
      <x:c r="H4" s="11" t="str">
        <x:v>A_preparation_errors</x:v>
      </x:c>
      <x:c r="I4" s="11" t="str">
        <x:v>A_coupon_position_errors</x:v>
      </x:c>
      <x:c r="J4" s="11" t="str">
        <x:v>A_coupon_orientation_errors</x:v>
      </x:c>
      <x:c r="K4" s="11" t="str">
        <x:v>B_order</x:v>
      </x:c>
      <x:c r="L4" s="11" t="str">
        <x:v>B_carrier_id</x:v>
      </x:c>
      <x:c r="M4" s="11" t="str">
        <x:v>B_coupon_id</x:v>
      </x:c>
      <x:c r="N4" s="11" t="str">
        <x:v>B_thickness_range_nm</x:v>
      </x:c>
      <x:c r="O4" s="11" t="str">
        <x:v>B_carrier_seating_errors</x:v>
      </x:c>
      <x:c r="P4" s="11" t="str">
        <x:v>B_preparation_errors</x:v>
      </x:c>
      <x:c r="Q4" s="11" t="str">
        <x:v>B_coupon_position_errors</x:v>
      </x:c>
      <x:c r="R4" s="11" t="str">
        <x:v>B_coupon_orientation_errors</x:v>
      </x:c>
      <x:c r="S4" s="11" t="str">
        <x:v>evidence_status</x:v>
      </x:c>
      <x:c r="T4" s="11" t="str">
        <x:v>notes</x:v>
      </x:c>
    </x:row>
    <x:row r="5" ht="40" customHeight="1">
      <x:c r="A5" s="28" t="str">
        <x:v>EXAMPLE-001</x:v>
      </x:c>
      <x:c r="B5" s="28" t="str">
        <x:v>BLOCK-01</x:v>
      </x:c>
      <x:c r="C5" s="28" t="n">
        <x:v>1</x:v>
      </x:c>
      <x:c r="D5" s="28" t="str">
        <x:v>CAR-A01</x:v>
      </x:c>
      <x:c r="E5" s="28" t="str">
        <x:v>CP-A01</x:v>
      </x:c>
      <x:c r="F5" s="29" t="n">
        <x:v>12.4</x:v>
      </x:c>
      <x:c r="G5" s="28" t="n">
        <x:v>0</x:v>
      </x:c>
      <x:c r="H5" s="28" t="n">
        <x:v>1</x:v>
      </x:c>
      <x:c r="I5" s="28" t="n">
        <x:v>0</x:v>
      </x:c>
      <x:c r="J5" s="28" t="n">
        <x:v>0</x:v>
      </x:c>
      <x:c r="K5" s="28" t="n">
        <x:v>2</x:v>
      </x:c>
      <x:c r="L5" s="28" t="str">
        <x:v>CAR-B01</x:v>
      </x:c>
      <x:c r="M5" s="28" t="str">
        <x:v>CP-B01</x:v>
      </x:c>
      <x:c r="N5" s="29" t="n">
        <x:v>9.8</x:v>
      </x:c>
      <x:c r="O5" s="28" t="n">
        <x:v>0</x:v>
      </x:c>
      <x:c r="P5" s="28" t="n">
        <x:v>0</x:v>
      </x:c>
      <x:c r="Q5" s="28" t="n">
        <x:v>1</x:v>
      </x:c>
      <x:c r="R5" s="28" t="n">
        <x:v>0</x:v>
      </x:c>
      <x:c r="S5" s="28" t="str">
        <x:v>RECONSTRUCTED_EXAMPLE</x:v>
      </x:c>
      <x:c r="T5" s="28" t="str">
        <x:v>입력 형식 설명용이며 실측값이 아님</x:v>
      </x:c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2" customHeight="1">
      <x:c r="A7" s="17" t="str">
        <x:v>예시의 두께 범위와 오류 건수는 설명을 위해 재구성한 값이다. 이 행을 실제 입력표로 복사하지 말고, 원자료에서 확인한 값만 새 pair_id로 입력한다.</x:v>
      </x:c>
      <x:c r="B7" s="17"/>
      <x:c r="C7" s="17"/>
      <x:c r="D7" s="17"/>
      <x:c r="E7" s="17"/>
      <x:c r="F7" s="17"/>
      <x:c r="G7" s="17"/>
      <x:c r="H7" s="17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2" customHeight="1">
      <x:c r="A8" s="17"/>
      <x:c r="B8" s="17"/>
      <x:c r="C8" s="17"/>
      <x:c r="D8" s="17"/>
      <x:c r="E8" s="17"/>
      <x:c r="F8" s="17"/>
      <x:c r="G8" s="17"/>
      <x:c r="H8" s="17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</x:sheetData>
  <x:mergeCells>
    <x:mergeCell ref="A1:H1"/>
    <x:mergeCell ref="A2:H2"/>
    <x:mergeCell ref="A7:H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64" hidden="0" customWidth="1"/>
    <x:col min="5" max="5" width="25" hidden="0" customWidth="1"/>
    <x:col min="6" max="6" width="14" hidden="0" customWidth="1"/>
    <x:col min="7" max="7" width="14" hidden="0" customWidth="1"/>
    <x:col min="8" max="8" width="20" hidden="0" customWidth="1"/>
    <x:col min="9" max="9" width="34" hidden="0" customWidth="1"/>
    <x:col min="10" max="10" width="42" hidden="0" customWidth="1"/>
  </x:cols>
  <x:sheetData>
    <x:row r="1" ht="32" customHeight="1">
      <x:c r="A1" s="4" t="str">
        <x:v>OLED 박막 문헌 벤치마크 - 현장 계산 제외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30" t="str">
        <x:v>공개 연구의 비교 맥락만 수록한다. Mintech 현장 측정·회사 규격·합격 기준이 아니며 01_기록시트, 02_쌍체비교, 요약 수식, 03_증거요약과 연결되지 않는다.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44" customHeight="1">
      <x:c r="A4" s="31" t="str">
        <x:v>Data_Class</x:v>
      </x:c>
      <x:c r="B4" s="31" t="str">
        <x:v>재료·적층 구조</x:v>
      </x:c>
      <x:c r="C4" s="31" t="str">
        <x:v>기판</x:v>
      </x:c>
      <x:c r="D4" s="31" t="str">
        <x:v>증착 맥락</x:v>
      </x:c>
      <x:c r="E4" s="31" t="str">
        <x:v>물성</x:v>
      </x:c>
      <x:c r="F4" s="31" t="str">
        <x:v>값</x:v>
      </x:c>
      <x:c r="G4" s="31" t="str">
        <x:v>단위</x:v>
      </x:c>
      <x:c r="H4" s="31" t="str">
        <x:v>측정 기준</x:v>
      </x:c>
      <x:c r="I4" s="31" t="str">
        <x:v>출처</x:v>
      </x:c>
      <x:c r="J4" s="31" t="str">
        <x:v>URL/DOI</x:v>
      </x:c>
    </x:row>
    <x:row r="5" ht="58" customHeight="1">
      <x:c r="A5" s="34" t="str">
        <x:v>LITERATURE_BENCHMARK</x:v>
      </x:c>
      <x:c r="B5" s="34" t="str">
        <x:v>AZO 혼합 ITO, 150 nm</x:v>
      </x:c>
      <x:c r="C5" s="34" t="str">
        <x:v>미기재</x:v>
      </x:c>
      <x:c r="D5" s="34" t="str">
        <x:v>dual-target DC magnetron sputtering, 실온 성장, 기판 약 50 °C, AZO 타깃 20 W</x:v>
      </x:c>
      <x:c r="E5" s="34" t="str">
        <x:v>비저항</x:v>
      </x:c>
      <x:c r="F5" s="35" t="n">
        <x:v>0.00046</x:v>
      </x:c>
      <x:c r="G5" s="34" t="str">
        <x:v>Ω·cm</x:v>
      </x:c>
      <x:c r="H5" s="34" t="str"/>
      <x:c r="I5" s="34" t="str">
        <x:v>Park et al. (2008), publisher abstract</x:v>
      </x:c>
      <x:c r="J5" s="34" t="str">
        <x:v>https://doi.org/10.1149/1.2976160</x:v>
      </x:c>
    </x:row>
    <x:row r="6" ht="58" customHeight="1">
      <x:c r="A6" s="34" t="str">
        <x:v>LITERATURE_BENCHMARK</x:v>
      </x:c>
      <x:c r="B6" s="34" t="str">
        <x:v>AZO 혼합 ITO, 150 nm</x:v>
      </x:c>
      <x:c r="C6" s="34" t="str">
        <x:v>미기재</x:v>
      </x:c>
      <x:c r="D6" s="34" t="str">
        <x:v>dual-target DC magnetron sputtering, 실온 성장, 기판 약 50 °C, AZO 타깃 20 W</x:v>
      </x:c>
      <x:c r="E6" s="34" t="str">
        <x:v>투과율</x:v>
      </x:c>
      <x:c r="F6" s="35" t="n">
        <x:v>85</x:v>
      </x:c>
      <x:c r="G6" s="34" t="str">
        <x:v>%</x:v>
      </x:c>
      <x:c r="H6" s="34" t="str">
        <x:v>550 nm</x:v>
      </x:c>
      <x:c r="I6" s="34" t="str">
        <x:v>Park et al. (2008), publisher abstract</x:v>
      </x:c>
      <x:c r="J6" s="34" t="str">
        <x:v>https://doi.org/10.1149/1.2976160</x:v>
      </x:c>
    </x:row>
    <x:row r="7" ht="58" customHeight="1">
      <x:c r="A7" s="34" t="str">
        <x:v>LITERATURE_BENCHMARK</x:v>
      </x:c>
      <x:c r="B7" s="34" t="str">
        <x:v>AZO 혼합 ITO, 150 nm</x:v>
      </x:c>
      <x:c r="C7" s="34" t="str">
        <x:v>미기재</x:v>
      </x:c>
      <x:c r="D7" s="34" t="str">
        <x:v>dual-target DC magnetron sputtering, 실온 성장, 기판 약 50 °C, AZO 타깃 20 W</x:v>
      </x:c>
      <x:c r="E7" s="34" t="str">
        <x:v>FoM</x:v>
      </x:c>
      <x:c r="F7" s="35" t="n">
        <x:v>0.00983</x:v>
      </x:c>
      <x:c r="G7" s="34" t="str">
        <x:v>Ω^-1</x:v>
      </x:c>
      <x:c r="H7" s="34" t="str">
        <x:v>원문 표기 유지</x:v>
      </x:c>
      <x:c r="I7" s="34" t="str">
        <x:v>Park et al. (2008), publisher abstract</x:v>
      </x:c>
      <x:c r="J7" s="34" t="str">
        <x:v>https://doi.org/10.1149/1.2976160</x:v>
      </x:c>
    </x:row>
    <x:row r="8" ht="58" customHeight="1">
      <x:c r="A8" s="34" t="str">
        <x:v>LITERATURE_BENCHMARK</x:v>
      </x:c>
      <x:c r="B8" s="34" t="str">
        <x:v>AZO 혼합 ITO, 150 nm</x:v>
      </x:c>
      <x:c r="C8" s="34" t="str">
        <x:v>미기재</x:v>
      </x:c>
      <x:c r="D8" s="34" t="str">
        <x:v>dual-target DC magnetron sputtering, 실온 성장, 기판 약 50 °C, AZO 타깃 20 W</x:v>
      </x:c>
      <x:c r="E8" s="34" t="str">
        <x:v>일함수</x:v>
      </x:c>
      <x:c r="F8" s="35" t="n">
        <x:v>5.2</x:v>
      </x:c>
      <x:c r="G8" s="34" t="str">
        <x:v>eV</x:v>
      </x:c>
      <x:c r="H8" s="34" t="str"/>
      <x:c r="I8" s="34" t="str">
        <x:v>Park et al. (2008), publisher abstract</x:v>
      </x:c>
      <x:c r="J8" s="34" t="str">
        <x:v>https://doi.org/10.1149/1.2976160</x:v>
      </x:c>
    </x:row>
    <x:row r="9" ht="58" customHeight="1">
      <x:c r="A9" s="34" t="str">
        <x:v>LITERATURE_BENCHMARK</x:v>
      </x:c>
      <x:c r="B9" s="34" t="str">
        <x:v>AZO, 막 두께 미기재</x:v>
      </x:c>
      <x:c r="C9" s="34" t="str">
        <x:v>PET</x:v>
      </x:c>
      <x:c r="D9" s="34" t="str">
        <x:v>linear facing-target sputtering, 실온, 기판 가열·도펀트 활성화 없음</x:v>
      </x:c>
      <x:c r="E9" s="34" t="str">
        <x:v>면저항</x:v>
      </x:c>
      <x:c r="F9" s="35" t="n">
        <x:v>39</x:v>
      </x:c>
      <x:c r="G9" s="34" t="str">
        <x:v>Ω/□</x:v>
      </x:c>
      <x:c r="H9" s="34" t="str"/>
      <x:c r="I9" s="34" t="str">
        <x:v>Jeong et al. (2010), publisher abstract</x:v>
      </x:c>
      <x:c r="J9" s="34" t="str">
        <x:v>https://doi.org/10.1088/0022-3727/43/46/465403</x:v>
      </x:c>
    </x:row>
    <x:row r="10" ht="58" customHeight="1">
      <x:c r="A10" s="34" t="str">
        <x:v>LITERATURE_BENCHMARK</x:v>
      </x:c>
      <x:c r="B10" s="34" t="str">
        <x:v>AZO, 막 두께 미기재</x:v>
      </x:c>
      <x:c r="C10" s="34" t="str">
        <x:v>PET</x:v>
      </x:c>
      <x:c r="D10" s="34" t="str">
        <x:v>linear facing-target sputtering, 실온, 기판 가열·도펀트 활성화 없음</x:v>
      </x:c>
      <x:c r="E10" s="34" t="str">
        <x:v>투과율</x:v>
      </x:c>
      <x:c r="F10" s="35" t="n">
        <x:v>84.86</x:v>
      </x:c>
      <x:c r="G10" s="34" t="str">
        <x:v>%</x:v>
      </x:c>
      <x:c r="H10" s="34" t="str">
        <x:v>가시광 평균</x:v>
      </x:c>
      <x:c r="I10" s="34" t="str">
        <x:v>Jeong et al. (2010), publisher abstract</x:v>
      </x:c>
      <x:c r="J10" s="34" t="str">
        <x:v>https://doi.org/10.1088/0022-3727/43/46/465403</x:v>
      </x:c>
    </x:row>
    <x:row r="11" ht="58" customHeight="1">
      <x:c r="A11" s="34" t="str">
        <x:v>LITERATURE_BENCHMARK</x:v>
      </x:c>
      <x:c r="B11" s="34" t="str">
        <x:v>AgNW / IZO / PEDOT:PSS, 초록의 전기·광학 값</x:v>
      </x:c>
      <x:c r="C11" s="34" t="str">
        <x:v>PEN</x:v>
      </x:c>
      <x:c r="D11" s="34" t="str">
        <x:v>IZO sputtering 후 polymer solution coating, sputtering 중 약 100 °C 가열</x:v>
      </x:c>
      <x:c r="E11" s="34" t="str">
        <x:v>면저항</x:v>
      </x:c>
      <x:c r="F11" s="35" t="n">
        <x:v>5.9</x:v>
      </x:c>
      <x:c r="G11" s="34" t="str">
        <x:v>Ω/□</x:v>
      </x:c>
      <x:c r="H11" s="34" t="str">
        <x:v>특정 IZO 두께와 일괄 대응하지 않음</x:v>
      </x:c>
      <x:c r="I11" s="34" t="str">
        <x:v>Yun et al. (2016), abstract</x:v>
      </x:c>
      <x:c r="J11" s="34" t="str">
        <x:v>https://doi.org/10.1038/srep34150</x:v>
      </x:c>
    </x:row>
    <x:row r="12" ht="58" customHeight="1">
      <x:c r="A12" s="34" t="str">
        <x:v>LITERATURE_BENCHMARK</x:v>
      </x:c>
      <x:c r="B12" s="34" t="str">
        <x:v>AgNW / IZO / PEDOT:PSS, 초록의 전기·광학 값</x:v>
      </x:c>
      <x:c r="C12" s="34" t="str">
        <x:v>PEN</x:v>
      </x:c>
      <x:c r="D12" s="34" t="str">
        <x:v>IZO sputtering 후 polymer solution coating, sputtering 중 약 100 °C 가열</x:v>
      </x:c>
      <x:c r="E12" s="34" t="str">
        <x:v>투과율</x:v>
      </x:c>
      <x:c r="F12" s="35" t="n">
        <x:v>86</x:v>
      </x:c>
      <x:c r="G12" s="34" t="str">
        <x:v>%</x:v>
      </x:c>
      <x:c r="H12" s="34" t="str">
        <x:v>550 nm, 특정 두께와 일괄 대응하지 않음</x:v>
      </x:c>
      <x:c r="I12" s="34" t="str">
        <x:v>Yun et al. (2016), abstract</x:v>
      </x:c>
      <x:c r="J12" s="34" t="str">
        <x:v>https://doi.org/10.1038/srep34150</x:v>
      </x:c>
    </x:row>
    <x:row r="13" ht="58" customHeight="1">
      <x:c r="A13" s="34" t="str">
        <x:v>LITERATURE_BENCHMARK</x:v>
      </x:c>
      <x:c r="B13" s="34" t="str">
        <x:v>AgNW / IZO / PEDOT:PSS, 본문의 AFM 시편</x:v>
      </x:c>
      <x:c r="C13" s="34" t="str">
        <x:v>PEN</x:v>
      </x:c>
      <x:c r="D13" s="34" t="str">
        <x:v>IZO sputtering 후 polymer solution coating, sputtering 중 약 100 °C 가열</x:v>
      </x:c>
      <x:c r="E13" s="34" t="str">
        <x:v>RMS 거칠기</x:v>
      </x:c>
      <x:c r="F13" s="35" t="n">
        <x:v>4.3</x:v>
      </x:c>
      <x:c r="G13" s="34" t="str">
        <x:v>nm</x:v>
      </x:c>
      <x:c r="H13" s="34" t="str">
        <x:v>Fig. 4 및 본문</x:v>
      </x:c>
      <x:c r="I13" s="34" t="str">
        <x:v>Yun et al. (2016), full text</x:v>
      </x:c>
      <x:c r="J13" s="34" t="str">
        <x:v>https://doi.org/10.1038/srep34150</x:v>
      </x:c>
    </x:row>
    <x:row r="14" ht="58" customHeight="1">
      <x:c r="A14" s="34" t="str">
        <x:v>LITERATURE_BENCHMARK</x:v>
      </x:c>
      <x:c r="B14" s="34" t="str">
        <x:v>AgNW / IZO / PEDOT:PSS, 본문의 AFM 시편</x:v>
      </x:c>
      <x:c r="C14" s="34" t="str">
        <x:v>PEN</x:v>
      </x:c>
      <x:c r="D14" s="34" t="str">
        <x:v>IZO sputtering 후 polymer solution coating, sputtering 중 약 100 °C 가열</x:v>
      </x:c>
      <x:c r="E14" s="34" t="str">
        <x:v>peak-to-valley 거칠기</x:v>
      </x:c>
      <x:c r="F14" s="35" t="n">
        <x:v>33.5</x:v>
      </x:c>
      <x:c r="G14" s="34" t="str">
        <x:v>nm</x:v>
      </x:c>
      <x:c r="H14" s="34" t="str">
        <x:v>Fig. 4 및 본문</x:v>
      </x:c>
      <x:c r="I14" s="34" t="str">
        <x:v>Yun et al. (2016), full text</x:v>
      </x:c>
      <x:c r="J14" s="34" t="str">
        <x:v>https://doi.org/10.1038/srep34150</x:v>
      </x:c>
    </x:row>
    <x:row r="15" ht="58" customHeight="1">
      <x:c r="A15" s="34" t="str">
        <x:v>LITERATURE_BENCHMARK</x:v>
      </x:c>
      <x:c r="B15" s="34" t="str">
        <x:v>32/0/32 nm AZO/Ag/AZO</x:v>
      </x:c>
      <x:c r="C15" s="34" t="str">
        <x:v>glass</x:v>
      </x:c>
      <x:c r="D15" s="34" t="str">
        <x:v>in-line magnetron sputtering, 실온 증착, 열처리 단계 보고 없음; AZO 2 kW pulsed DC, 200 kHz, 0.5 µs, 5 mTorr, 50 sccm Ar; Ag 조건 해당 없음</x:v>
      </x:c>
      <x:c r="E15" s="34" t="str">
        <x:v>면저항</x:v>
      </x:c>
      <x:c r="F15" s="35" t="n">
        <x:v>717.03</x:v>
      </x:c>
      <x:c r="G15" s="34" t="str">
        <x:v>Ω/□</x:v>
      </x:c>
      <x:c r="H15" s="34" t="str"/>
      <x:c r="I15" s="34" t="str">
        <x:v>Lee et al. (2024), Micromachines 15(1), 146</x:v>
      </x:c>
      <x:c r="J15" s="34" t="str">
        <x:v>https://doi.org/10.3390/mi15010146</x:v>
      </x:c>
    </x:row>
    <x:row r="16" ht="58" customHeight="1">
      <x:c r="A16" s="34" t="str">
        <x:v>LITERATURE_BENCHMARK</x:v>
      </x:c>
      <x:c r="B16" s="34" t="str">
        <x:v>32/0/32 nm AZO/Ag/AZO</x:v>
      </x:c>
      <x:c r="C16" s="34" t="str">
        <x:v>glass</x:v>
      </x:c>
      <x:c r="D16" s="34" t="str">
        <x:v>in-line magnetron sputtering, 실온 증착, 열처리 단계 보고 없음; AZO 2 kW pulsed DC, 200 kHz, 0.5 µs, 5 mTorr, 50 sccm Ar; Ag 조건 해당 없음</x:v>
      </x:c>
      <x:c r="E16" s="34" t="str">
        <x:v>투과율</x:v>
      </x:c>
      <x:c r="F16" s="35" t="n">
        <x:v>82.77</x:v>
      </x:c>
      <x:c r="G16" s="34" t="str">
        <x:v>%</x:v>
      </x:c>
      <x:c r="H16" s="34" t="str">
        <x:v>550 nm</x:v>
      </x:c>
      <x:c r="I16" s="34" t="str">
        <x:v>Lee et al. (2024), Micromachines 15(1), 146</x:v>
      </x:c>
      <x:c r="J16" s="34" t="str">
        <x:v>https://doi.org/10.3390/mi15010146</x:v>
      </x:c>
    </x:row>
    <x:row r="17" ht="58" customHeight="1">
      <x:c r="A17" s="34" t="str">
        <x:v>LITERATURE_BENCHMARK</x:v>
      </x:c>
      <x:c r="B17" s="34" t="str">
        <x:v>32/0/32 nm AZO/Ag/AZO</x:v>
      </x:c>
      <x:c r="C17" s="34" t="str">
        <x:v>glass</x:v>
      </x:c>
      <x:c r="D17" s="34" t="str">
        <x:v>in-line magnetron sputtering, 실온 증착, 열처리 단계 보고 없음; AZO 2 kW pulsed DC, 200 kHz, 0.5 µs, 5 mTorr, 50 sccm Ar; Ag 조건 해당 없음</x:v>
      </x:c>
      <x:c r="E17" s="34" t="str">
        <x:v>FoM</x:v>
      </x:c>
      <x:c r="F17" s="35" t="n">
        <x:v>0.21</x:v>
      </x:c>
      <x:c r="G17" s="34" t="str">
        <x:v>mΩ^-1</x:v>
      </x:c>
      <x:c r="H17" s="34" t="str">
        <x:v>원문 표기 유지</x:v>
      </x:c>
      <x:c r="I17" s="34" t="str">
        <x:v>Lee et al. (2024), Micromachines 15(1), 146</x:v>
      </x:c>
      <x:c r="J17" s="34" t="str">
        <x:v>https://doi.org/10.3390/mi15010146</x:v>
      </x:c>
    </x:row>
    <x:row r="18" ht="58" customHeight="1">
      <x:c r="A18" s="34" t="str">
        <x:v>LITERATURE_BENCHMARK</x:v>
      </x:c>
      <x:c r="B18" s="34" t="str">
        <x:v>32/6/32 nm AZO/Ag/AZO</x:v>
      </x:c>
      <x:c r="C18" s="34" t="str">
        <x:v>glass</x:v>
      </x:c>
      <x:c r="D18" s="34" t="str">
        <x:v>in-line magnetron sputtering, 실온 증착, 열처리 단계 보고 없음; AZO 2 kW pulsed DC, 200 kHz, 0.5 µs, 5 mTorr, 50 sccm Ar; Ag 60 W RF, 3 mTorr, 30 sccm Ar, 실온</x:v>
      </x:c>
      <x:c r="E18" s="34" t="str">
        <x:v>면저항</x:v>
      </x:c>
      <x:c r="F18" s="35" t="n">
        <x:v>64.17</x:v>
      </x:c>
      <x:c r="G18" s="34" t="str">
        <x:v>Ω/□</x:v>
      </x:c>
      <x:c r="H18" s="34" t="str"/>
      <x:c r="I18" s="34" t="str">
        <x:v>Lee et al. (2024), Micromachines 15(1), 146</x:v>
      </x:c>
      <x:c r="J18" s="34" t="str">
        <x:v>https://doi.org/10.3390/mi15010146</x:v>
      </x:c>
    </x:row>
    <x:row r="19" ht="58" customHeight="1">
      <x:c r="A19" s="34" t="str">
        <x:v>LITERATURE_BENCHMARK</x:v>
      </x:c>
      <x:c r="B19" s="34" t="str">
        <x:v>32/6/32 nm AZO/Ag/AZO</x:v>
      </x:c>
      <x:c r="C19" s="34" t="str">
        <x:v>glass</x:v>
      </x:c>
      <x:c r="D19" s="34" t="str">
        <x:v>in-line magnetron sputtering, 실온 증착, 열처리 단계 보고 없음; AZO 2 kW pulsed DC, 200 kHz, 0.5 µs, 5 mTorr, 50 sccm Ar; Ag 60 W RF, 3 mTorr, 30 sccm Ar, 실온</x:v>
      </x:c>
      <x:c r="E19" s="34" t="str">
        <x:v>투과율</x:v>
      </x:c>
      <x:c r="F19" s="35" t="n">
        <x:v>77.06</x:v>
      </x:c>
      <x:c r="G19" s="34" t="str">
        <x:v>%</x:v>
      </x:c>
      <x:c r="H19" s="34" t="str">
        <x:v>550 nm</x:v>
      </x:c>
      <x:c r="I19" s="34" t="str">
        <x:v>Lee et al. (2024), Micromachines 15(1), 146</x:v>
      </x:c>
      <x:c r="J19" s="34" t="str">
        <x:v>https://doi.org/10.3390/mi15010146</x:v>
      </x:c>
    </x:row>
    <x:row r="20" ht="58" customHeight="1">
      <x:c r="A20" s="34" t="str">
        <x:v>LITERATURE_BENCHMARK</x:v>
      </x:c>
      <x:c r="B20" s="34" t="str">
        <x:v>32/6/32 nm AZO/Ag/AZO</x:v>
      </x:c>
      <x:c r="C20" s="34" t="str">
        <x:v>glass</x:v>
      </x:c>
      <x:c r="D20" s="34" t="str">
        <x:v>in-line magnetron sputtering, 실온 증착, 열처리 단계 보고 없음; AZO 2 kW pulsed DC, 200 kHz, 0.5 µs, 5 mTorr, 50 sccm Ar; Ag 60 W RF, 3 mTorr, 30 sccm Ar, 실온</x:v>
      </x:c>
      <x:c r="E20" s="34" t="str">
        <x:v>FoM</x:v>
      </x:c>
      <x:c r="F20" s="35" t="n">
        <x:v>1.15</x:v>
      </x:c>
      <x:c r="G20" s="34" t="str">
        <x:v>mΩ^-1</x:v>
      </x:c>
      <x:c r="H20" s="34" t="str">
        <x:v>원문 표기 유지</x:v>
      </x:c>
      <x:c r="I20" s="34" t="str">
        <x:v>Lee et al. (2024), Micromachines 15(1), 146</x:v>
      </x:c>
      <x:c r="J20" s="34" t="str">
        <x:v>https://doi.org/10.3390/mi15010146</x:v>
      </x:c>
    </x:row>
    <x:row r="21" ht="58" customHeight="1">
      <x:c r="A21" s="34" t="str">
        <x:v>LITERATURE_BENCHMARK</x:v>
      </x:c>
      <x:c r="B21" s="34" t="str">
        <x:v>32/12/32 nm AZO/Ag/AZO</x:v>
      </x:c>
      <x:c r="C21" s="34" t="str">
        <x:v>glass</x:v>
      </x:c>
      <x:c r="D21" s="34" t="str">
        <x:v>in-line magnetron sputtering, 실온 증착, 열처리 단계 보고 없음; AZO 2 kW pulsed DC, 200 kHz, 0.5 µs, 5 mTorr, 50 sccm Ar; Ag 60 W RF, 3 mTorr, 30 sccm Ar, 실온</x:v>
      </x:c>
      <x:c r="E21" s="34" t="str">
        <x:v>면저항</x:v>
      </x:c>
      <x:c r="F21" s="35" t="n">
        <x:v>12.22</x:v>
      </x:c>
      <x:c r="G21" s="34" t="str">
        <x:v>Ω/□</x:v>
      </x:c>
      <x:c r="H21" s="34" t="str"/>
      <x:c r="I21" s="34" t="str">
        <x:v>Lee et al. (2024), Micromachines 15(1), 146</x:v>
      </x:c>
      <x:c r="J21" s="34" t="str">
        <x:v>https://doi.org/10.3390/mi15010146</x:v>
      </x:c>
    </x:row>
    <x:row r="22" ht="58" customHeight="1">
      <x:c r="A22" s="34" t="str">
        <x:v>LITERATURE_BENCHMARK</x:v>
      </x:c>
      <x:c r="B22" s="34" t="str">
        <x:v>32/12/32 nm AZO/Ag/AZO</x:v>
      </x:c>
      <x:c r="C22" s="34" t="str">
        <x:v>glass</x:v>
      </x:c>
      <x:c r="D22" s="34" t="str">
        <x:v>in-line magnetron sputtering, 실온 증착, 열처리 단계 보고 없음; AZO 2 kW pulsed DC, 200 kHz, 0.5 µs, 5 mTorr, 50 sccm Ar; Ag 60 W RF, 3 mTorr, 30 sccm Ar, 실온</x:v>
      </x:c>
      <x:c r="E22" s="34" t="str">
        <x:v>투과율</x:v>
      </x:c>
      <x:c r="F22" s="35" t="n">
        <x:v>76.62</x:v>
      </x:c>
      <x:c r="G22" s="34" t="str">
        <x:v>%</x:v>
      </x:c>
      <x:c r="H22" s="34" t="str">
        <x:v>550 nm</x:v>
      </x:c>
      <x:c r="I22" s="34" t="str">
        <x:v>Lee et al. (2024), Micromachines 15(1), 146</x:v>
      </x:c>
      <x:c r="J22" s="34" t="str">
        <x:v>https://doi.org/10.3390/mi15010146</x:v>
      </x:c>
    </x:row>
    <x:row r="23" ht="58" customHeight="1">
      <x:c r="A23" s="34" t="str">
        <x:v>LITERATURE_BENCHMARK</x:v>
      </x:c>
      <x:c r="B23" s="34" t="str">
        <x:v>32/12/32 nm AZO/Ag/AZO</x:v>
      </x:c>
      <x:c r="C23" s="34" t="str">
        <x:v>glass</x:v>
      </x:c>
      <x:c r="D23" s="34" t="str">
        <x:v>in-line magnetron sputtering, 실온 증착, 열처리 단계 보고 없음; AZO 2 kW pulsed DC, 200 kHz, 0.5 µs, 5 mTorr, 50 sccm Ar; Ag 60 W RF, 3 mTorr, 30 sccm Ar, 실온</x:v>
      </x:c>
      <x:c r="E23" s="34" t="str">
        <x:v>FoM</x:v>
      </x:c>
      <x:c r="F23" s="35" t="n">
        <x:v>4.65</x:v>
      </x:c>
      <x:c r="G23" s="34" t="str">
        <x:v>mΩ^-1</x:v>
      </x:c>
      <x:c r="H23" s="34" t="str">
        <x:v>원문 표기 유지</x:v>
      </x:c>
      <x:c r="I23" s="34" t="str">
        <x:v>Lee et al. (2024), Micromachines 15(1), 146</x:v>
      </x:c>
      <x:c r="J23" s="34" t="str">
        <x:v>https://doi.org/10.3390/mi15010146</x:v>
      </x:c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42" customHeight="1">
      <x:c r="A25" s="30" t="str">
        <x:v>Yun의 초록 값과 본문 AFM 값은 특정 한 두께 시편의 묶음으로 해석하지 않는다. Kim과 Choi는 이번 검토에서 원문을 대조하지 못해 수치표에서 제외했다. FoM은 연구 간에 합치지 않는다.</x:v>
      </x:c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</x:sheetData>
  <x:mergeCells>
    <x:mergeCell ref="A1:J1"/>
    <x:mergeCell ref="A2:J2"/>
    <x:mergeCell ref="A25:J25"/>
  </x:mergeCells>
  <x:pageMargins left="0.7" right="0.7" top="0.75" bottom="0.75" header="0.3" footer="0.3"/>
  <x:tableParts count="1">
    <x:tablePart xmlns:r="http://schemas.openxmlformats.org/officeDocument/2006/relationships" r:id="Rf6ed93b019c4483c"/>
  </x:tableParts>
</x:worksheet>
</file>